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ml.chartshap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1104" yWindow="348" windowWidth="20820" windowHeight="11484" firstSheet="5" activeTab="6"/>
  </bookViews>
  <sheets>
    <sheet name="Clusters1Variable" sheetId="14" r:id="rId1"/>
    <sheet name="Pivot1Variable" sheetId="27" r:id="rId2"/>
    <sheet name="Pivot2Variables" sheetId="30" r:id="rId3"/>
    <sheet name="Clusters2Variable" sheetId="28" r:id="rId4"/>
    <sheet name="Pivot3Variables" sheetId="32" r:id="rId5"/>
    <sheet name="Clusters3Variable " sheetId="31" r:id="rId6"/>
    <sheet name="Pivot4Vars" sheetId="34" r:id="rId7"/>
    <sheet name="Clusters4Variable" sheetId="33" r:id="rId8"/>
    <sheet name="advertising" sheetId="16" r:id="rId9"/>
    <sheet name="Hoja2" sheetId="17" r:id="rId10"/>
    <sheet name="clustersavgstd" sheetId="18" r:id="rId11"/>
    <sheet name="2dclusteravgst" sheetId="19" r:id="rId12"/>
    <sheet name="Sheet1" sheetId="21" r:id="rId13"/>
    <sheet name="3dclustersavgst" sheetId="20" r:id="rId14"/>
  </sheets>
  <definedNames>
    <definedName name="_xlnm._FilterDatabase" localSheetId="11" hidden="1">'2dclusteravgst'!$A$1:$C$28</definedName>
    <definedName name="_xlnm._FilterDatabase" localSheetId="13" hidden="1">'3dclustersavgst'!$A$1:$D$29</definedName>
    <definedName name="_xlnm._FilterDatabase" localSheetId="9" hidden="1">Hoja2!$A$1:$C$28</definedName>
    <definedName name="Advertising" localSheetId="8">advertising!$A$1:$E$201</definedName>
  </definedNames>
  <calcPr calcId="124519"/>
  <pivotCaches>
    <pivotCache cacheId="0" r:id="rId15"/>
    <pivotCache cacheId="1" r:id="rId16"/>
    <pivotCache cacheId="2" r:id="rId17"/>
    <pivotCache cacheId="3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3" i="14"/>
  <c r="O32"/>
  <c r="O29"/>
  <c r="C26" i="18" l="1"/>
  <c r="C18"/>
  <c r="C11"/>
  <c r="C3"/>
  <c r="D14" i="19"/>
  <c r="D7"/>
</calcChain>
</file>

<file path=xl/connections.xml><?xml version="1.0" encoding="utf-8"?>
<connections xmlns="http://schemas.openxmlformats.org/spreadsheetml/2006/main">
  <connection id="1" name="Advertising" type="6" refreshedVersion="3" background="1" saveData="1">
    <textPr codePage="850" sourceFile="Z:\cursos\appstosell\Packtbook_ExcelML\excelfiles\Advertising.csv" tab="0" comma="1">
      <textFields count="5">
        <textField/>
        <textField/>
        <textField/>
        <textField/>
        <textField/>
      </textFields>
    </textPr>
  </connection>
  <connection id="2" name="storesales" type="6" refreshedVersion="3" background="1">
    <textPr codePage="850" sourceFile="Z:\windowshare\appstosell\excelrkmeans\workingexcelkmeans30ago2020\storesales.csv" decimal="," thousands="." tab="0" comma="1">
      <textFields count="15"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toresales1" type="6" refreshedVersion="3" background="1">
    <textPr codePage="850" sourceFile="Z:\windowshare\appstosell\excelrkmeans\workingexcelkmeans30ago2020\storesales.csv" decimal="," thousands=".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toresales2" type="6" refreshedVersion="3" background="1" saveData="1">
    <textPr codePage="850" sourceFile="Z:\windowshare\appstosell\excelrkmeans\workingexcelkmeans30ago2020\storesales.csv" decimal="," thousands="." tab="0" comma="1" qualifier="none">
      <textFields count="15"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<sst xmlns="http://schemas.openxmlformats.org/spreadsheetml/2006/main" count="81" uniqueCount="34">
  <si>
    <t xml:space="preserve"> </t>
  </si>
  <si>
    <t>segment</t>
  </si>
  <si>
    <t>id</t>
  </si>
  <si>
    <t>Cluster</t>
  </si>
  <si>
    <t>TV</t>
  </si>
  <si>
    <t>Radio</t>
  </si>
  <si>
    <t>Newspaper</t>
  </si>
  <si>
    <t>Sales</t>
  </si>
  <si>
    <t>Revenue-Sales</t>
  </si>
  <si>
    <t>Material Rotation</t>
  </si>
  <si>
    <t>Online marketing</t>
  </si>
  <si>
    <t>cluster</t>
  </si>
  <si>
    <t>revenue</t>
  </si>
  <si>
    <t>Average</t>
  </si>
  <si>
    <t>Standard Deviation</t>
  </si>
  <si>
    <t>Segment</t>
  </si>
  <si>
    <t>Average Online mark.</t>
  </si>
  <si>
    <t>standard deviation online mark.</t>
  </si>
  <si>
    <t>Average Revenue</t>
  </si>
  <si>
    <t>standard deviation revenue</t>
  </si>
  <si>
    <t>OneVarGroups</t>
  </si>
  <si>
    <t>Rótulos de fila</t>
  </si>
  <si>
    <t>Total general</t>
  </si>
  <si>
    <t>Suma de OneVarGroups</t>
  </si>
  <si>
    <t>StandardDev</t>
  </si>
  <si>
    <t>x</t>
  </si>
  <si>
    <t>y</t>
  </si>
  <si>
    <t>Suma de x</t>
  </si>
  <si>
    <t>Valores</t>
  </si>
  <si>
    <t>Suma de y</t>
  </si>
  <si>
    <t>z</t>
  </si>
  <si>
    <t>Suma de z</t>
  </si>
  <si>
    <t>w</t>
  </si>
  <si>
    <t>Suma de w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</si>
</sst>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plotArea>
      <c:layout/>
      <c:scatterChart>
        <c:scatterStyle val="lineMarker"/>
        <c:ser>
          <c:idx val="0"/>
          <c:order val="0"/>
          <c:tx>
            <c:strRef>
              <c:f>Clusters1Variable!$B$1</c:f>
              <c:strCache>
                <c:ptCount val="1"/>
                <c:pt idx="0">
                  <c:v>OneVarGroups</c:v>
                </c:pt>
              </c:strCache>
            </c:strRef>
          </c:tx>
          <c:spPr>
            <a:ln w="28575">
              <a:noFill/>
            </a:ln>
          </c:spPr>
          <c:yVal>
            <c:numRef>
              <c:f>Clusters1Variable!$B$2:$B$43</c:f>
              <c:numCache>
                <c:formatCode>General</c:formatCode>
                <c:ptCount val="42"/>
                <c:pt idx="0">
                  <c:v>107</c:v>
                </c:pt>
                <c:pt idx="1">
                  <c:v>109</c:v>
                </c:pt>
                <c:pt idx="2">
                  <c:v>106</c:v>
                </c:pt>
                <c:pt idx="3">
                  <c:v>111</c:v>
                </c:pt>
                <c:pt idx="4">
                  <c:v>112</c:v>
                </c:pt>
                <c:pt idx="5">
                  <c:v>108</c:v>
                </c:pt>
                <c:pt idx="6">
                  <c:v>144</c:v>
                </c:pt>
                <c:pt idx="7">
                  <c:v>107</c:v>
                </c:pt>
                <c:pt idx="8">
                  <c:v>108</c:v>
                </c:pt>
                <c:pt idx="9">
                  <c:v>120</c:v>
                </c:pt>
                <c:pt idx="10">
                  <c:v>130</c:v>
                </c:pt>
                <c:pt idx="11">
                  <c:v>56</c:v>
                </c:pt>
                <c:pt idx="12">
                  <c:v>58</c:v>
                </c:pt>
                <c:pt idx="13">
                  <c:v>50</c:v>
                </c:pt>
                <c:pt idx="14">
                  <c:v>52</c:v>
                </c:pt>
                <c:pt idx="15">
                  <c:v>59</c:v>
                </c:pt>
                <c:pt idx="16">
                  <c:v>63</c:v>
                </c:pt>
                <c:pt idx="17">
                  <c:v>64</c:v>
                </c:pt>
                <c:pt idx="18">
                  <c:v>65</c:v>
                </c:pt>
                <c:pt idx="19">
                  <c:v>66</c:v>
                </c:pt>
                <c:pt idx="20">
                  <c:v>400</c:v>
                </c:pt>
                <c:pt idx="21">
                  <c:v>61</c:v>
                </c:pt>
                <c:pt idx="22">
                  <c:v>800</c:v>
                </c:pt>
                <c:pt idx="23">
                  <c:v>855</c:v>
                </c:pt>
                <c:pt idx="24">
                  <c:v>900</c:v>
                </c:pt>
                <c:pt idx="25">
                  <c:v>920</c:v>
                </c:pt>
                <c:pt idx="26">
                  <c:v>930</c:v>
                </c:pt>
                <c:pt idx="27">
                  <c:v>940</c:v>
                </c:pt>
                <c:pt idx="28">
                  <c:v>1000</c:v>
                </c:pt>
                <c:pt idx="29">
                  <c:v>980</c:v>
                </c:pt>
                <c:pt idx="30">
                  <c:v>890</c:v>
                </c:pt>
                <c:pt idx="31">
                  <c:v>101</c:v>
                </c:pt>
                <c:pt idx="32">
                  <c:v>105</c:v>
                </c:pt>
                <c:pt idx="33">
                  <c:v>235</c:v>
                </c:pt>
                <c:pt idx="34">
                  <c:v>178</c:v>
                </c:pt>
                <c:pt idx="35">
                  <c:v>1</c:v>
                </c:pt>
                <c:pt idx="36">
                  <c:v>2</c:v>
                </c:pt>
                <c:pt idx="37">
                  <c:v>345</c:v>
                </c:pt>
                <c:pt idx="38">
                  <c:v>200</c:v>
                </c:pt>
                <c:pt idx="39">
                  <c:v>546</c:v>
                </c:pt>
                <c:pt idx="40">
                  <c:v>1000</c:v>
                </c:pt>
                <c:pt idx="41">
                  <c:v>1020</c:v>
                </c:pt>
              </c:numCache>
            </c:numRef>
          </c:yVal>
        </c:ser>
        <c:axId val="151582976"/>
        <c:axId val="151461888"/>
      </c:scatterChart>
      <c:valAx>
        <c:axId val="151582976"/>
        <c:scaling>
          <c:orientation val="minMax"/>
        </c:scaling>
        <c:axPos val="b"/>
        <c:tickLblPos val="nextTo"/>
        <c:crossAx val="151461888"/>
        <c:crosses val="autoZero"/>
        <c:crossBetween val="midCat"/>
      </c:valAx>
      <c:valAx>
        <c:axId val="151461888"/>
        <c:scaling>
          <c:orientation val="minMax"/>
        </c:scaling>
        <c:axPos val="l"/>
        <c:majorGridlines/>
        <c:numFmt formatCode="General" sourceLinked="1"/>
        <c:tickLblPos val="nextTo"/>
        <c:crossAx val="1515829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pivotSource>
    <c:name>[kmeansClusters.xlsm]Pivot1Variable!Tabla dinámica4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Pivot1Variable!$B$3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Pivot1Variable!$A$4:$A$32</c:f>
              <c:strCach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39</c:v>
                </c:pt>
              </c:strCache>
            </c:strRef>
          </c:cat>
          <c:val>
            <c:numRef>
              <c:f>Pivot1Variable!$B$4:$B$32</c:f>
              <c:numCache>
                <c:formatCode>General</c:formatCode>
                <c:ptCount val="28"/>
                <c:pt idx="0">
                  <c:v>107</c:v>
                </c:pt>
                <c:pt idx="1">
                  <c:v>109</c:v>
                </c:pt>
                <c:pt idx="2">
                  <c:v>106</c:v>
                </c:pt>
                <c:pt idx="3">
                  <c:v>111</c:v>
                </c:pt>
                <c:pt idx="4">
                  <c:v>112</c:v>
                </c:pt>
                <c:pt idx="5">
                  <c:v>108</c:v>
                </c:pt>
                <c:pt idx="6">
                  <c:v>144</c:v>
                </c:pt>
                <c:pt idx="7">
                  <c:v>107</c:v>
                </c:pt>
                <c:pt idx="8">
                  <c:v>108</c:v>
                </c:pt>
                <c:pt idx="9">
                  <c:v>120</c:v>
                </c:pt>
                <c:pt idx="10">
                  <c:v>130</c:v>
                </c:pt>
                <c:pt idx="11">
                  <c:v>56</c:v>
                </c:pt>
                <c:pt idx="12">
                  <c:v>58</c:v>
                </c:pt>
                <c:pt idx="13">
                  <c:v>50</c:v>
                </c:pt>
                <c:pt idx="14">
                  <c:v>52</c:v>
                </c:pt>
                <c:pt idx="15">
                  <c:v>59</c:v>
                </c:pt>
                <c:pt idx="16">
                  <c:v>63</c:v>
                </c:pt>
                <c:pt idx="17">
                  <c:v>64</c:v>
                </c:pt>
                <c:pt idx="18">
                  <c:v>65</c:v>
                </c:pt>
                <c:pt idx="19">
                  <c:v>66</c:v>
                </c:pt>
                <c:pt idx="20">
                  <c:v>61</c:v>
                </c:pt>
                <c:pt idx="21">
                  <c:v>101</c:v>
                </c:pt>
                <c:pt idx="22">
                  <c:v>105</c:v>
                </c:pt>
                <c:pt idx="23">
                  <c:v>235</c:v>
                </c:pt>
                <c:pt idx="24">
                  <c:v>178</c:v>
                </c:pt>
                <c:pt idx="25">
                  <c:v>1</c:v>
                </c:pt>
                <c:pt idx="26">
                  <c:v>2</c:v>
                </c:pt>
                <c:pt idx="27">
                  <c:v>200</c:v>
                </c:pt>
              </c:numCache>
            </c:numRef>
          </c:val>
        </c:ser>
        <c:axId val="151512960"/>
        <c:axId val="151514496"/>
      </c:barChart>
      <c:catAx>
        <c:axId val="151512960"/>
        <c:scaling>
          <c:orientation val="minMax"/>
        </c:scaling>
        <c:axPos val="b"/>
        <c:tickLblPos val="nextTo"/>
        <c:crossAx val="151514496"/>
        <c:crosses val="autoZero"/>
        <c:auto val="1"/>
        <c:lblAlgn val="ctr"/>
        <c:lblOffset val="100"/>
      </c:catAx>
      <c:valAx>
        <c:axId val="151514496"/>
        <c:scaling>
          <c:orientation val="minMax"/>
        </c:scaling>
        <c:axPos val="l"/>
        <c:majorGridlines/>
        <c:numFmt formatCode="General" sourceLinked="1"/>
        <c:tickLblPos val="nextTo"/>
        <c:crossAx val="15151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pivotSource>
    <c:name>[kmeansClusters.xlsm]Pivot2Variables!Tabla dinámica6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Pivot2Variables!$B$3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Pivot2Variables!$A$4:$A$8</c:f>
              <c:strCache>
                <c:ptCount val="4"/>
                <c:pt idx="0">
                  <c:v>187</c:v>
                </c:pt>
                <c:pt idx="1">
                  <c:v>222</c:v>
                </c:pt>
                <c:pt idx="2">
                  <c:v>224</c:v>
                </c:pt>
                <c:pt idx="3">
                  <c:v>225</c:v>
                </c:pt>
              </c:strCache>
            </c:strRef>
          </c:cat>
          <c:val>
            <c:numRef>
              <c:f>Pivot2Variables!$B$4:$B$8</c:f>
              <c:numCache>
                <c:formatCode>General</c:formatCode>
                <c:ptCount val="4"/>
                <c:pt idx="0">
                  <c:v>600</c:v>
                </c:pt>
                <c:pt idx="1">
                  <c:v>710</c:v>
                </c:pt>
                <c:pt idx="2">
                  <c:v>700</c:v>
                </c:pt>
                <c:pt idx="3">
                  <c:v>601</c:v>
                </c:pt>
              </c:numCache>
            </c:numRef>
          </c:val>
        </c:ser>
        <c:axId val="151636992"/>
        <c:axId val="152306432"/>
      </c:barChart>
      <c:catAx>
        <c:axId val="151636992"/>
        <c:scaling>
          <c:orientation val="minMax"/>
        </c:scaling>
        <c:axPos val="b"/>
        <c:tickLblPos val="nextTo"/>
        <c:crossAx val="152306432"/>
        <c:crosses val="autoZero"/>
        <c:auto val="1"/>
        <c:lblAlgn val="ctr"/>
        <c:lblOffset val="100"/>
      </c:catAx>
      <c:valAx>
        <c:axId val="152306432"/>
        <c:scaling>
          <c:orientation val="minMax"/>
        </c:scaling>
        <c:axPos val="l"/>
        <c:majorGridlines/>
        <c:numFmt formatCode="General" sourceLinked="1"/>
        <c:tickLblPos val="nextTo"/>
        <c:crossAx val="15163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plotArea>
      <c:layout/>
      <c:lineChart>
        <c:grouping val="stacked"/>
        <c:ser>
          <c:idx val="1"/>
          <c:order val="0"/>
          <c:tx>
            <c:strRef>
              <c:f>Clusters2Variable!$C$1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Clusters2Variable!$B$2:$B$35</c:f>
              <c:numCache>
                <c:formatCode>General</c:formatCode>
                <c:ptCount val="34"/>
                <c:pt idx="0">
                  <c:v>3</c:v>
                </c:pt>
                <c:pt idx="1">
                  <c:v>8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14</c:v>
                </c:pt>
                <c:pt idx="6">
                  <c:v>12</c:v>
                </c:pt>
                <c:pt idx="7">
                  <c:v>20</c:v>
                </c:pt>
                <c:pt idx="8">
                  <c:v>22</c:v>
                </c:pt>
                <c:pt idx="9">
                  <c:v>9</c:v>
                </c:pt>
                <c:pt idx="10">
                  <c:v>156</c:v>
                </c:pt>
                <c:pt idx="11">
                  <c:v>162</c:v>
                </c:pt>
                <c:pt idx="12">
                  <c:v>170</c:v>
                </c:pt>
                <c:pt idx="13">
                  <c:v>167</c:v>
                </c:pt>
                <c:pt idx="14">
                  <c:v>189</c:v>
                </c:pt>
                <c:pt idx="15">
                  <c:v>200</c:v>
                </c:pt>
                <c:pt idx="16">
                  <c:v>203</c:v>
                </c:pt>
                <c:pt idx="17">
                  <c:v>176</c:v>
                </c:pt>
                <c:pt idx="18">
                  <c:v>177</c:v>
                </c:pt>
                <c:pt idx="19">
                  <c:v>183</c:v>
                </c:pt>
                <c:pt idx="20">
                  <c:v>310</c:v>
                </c:pt>
                <c:pt idx="21">
                  <c:v>330</c:v>
                </c:pt>
                <c:pt idx="22">
                  <c:v>345</c:v>
                </c:pt>
                <c:pt idx="23">
                  <c:v>316</c:v>
                </c:pt>
                <c:pt idx="24">
                  <c:v>311</c:v>
                </c:pt>
                <c:pt idx="25">
                  <c:v>354</c:v>
                </c:pt>
                <c:pt idx="26">
                  <c:v>349</c:v>
                </c:pt>
                <c:pt idx="27">
                  <c:v>341</c:v>
                </c:pt>
                <c:pt idx="28">
                  <c:v>339</c:v>
                </c:pt>
                <c:pt idx="29">
                  <c:v>335</c:v>
                </c:pt>
                <c:pt idx="30">
                  <c:v>187</c:v>
                </c:pt>
                <c:pt idx="31">
                  <c:v>222</c:v>
                </c:pt>
                <c:pt idx="32">
                  <c:v>224</c:v>
                </c:pt>
                <c:pt idx="33">
                  <c:v>225</c:v>
                </c:pt>
              </c:numCache>
            </c:numRef>
          </c:cat>
          <c:val>
            <c:numRef>
              <c:f>Clusters2Variable!$C$2:$C$35</c:f>
              <c:numCache>
                <c:formatCode>General</c:formatCode>
                <c:ptCount val="34"/>
                <c:pt idx="0">
                  <c:v>11</c:v>
                </c:pt>
                <c:pt idx="1">
                  <c:v>16</c:v>
                </c:pt>
                <c:pt idx="2">
                  <c:v>18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20</c:v>
                </c:pt>
                <c:pt idx="7">
                  <c:v>11</c:v>
                </c:pt>
                <c:pt idx="8">
                  <c:v>18</c:v>
                </c:pt>
                <c:pt idx="9">
                  <c:v>5</c:v>
                </c:pt>
                <c:pt idx="10">
                  <c:v>170</c:v>
                </c:pt>
                <c:pt idx="11">
                  <c:v>167</c:v>
                </c:pt>
                <c:pt idx="12">
                  <c:v>189</c:v>
                </c:pt>
                <c:pt idx="13">
                  <c:v>156</c:v>
                </c:pt>
                <c:pt idx="14">
                  <c:v>162</c:v>
                </c:pt>
                <c:pt idx="15">
                  <c:v>170</c:v>
                </c:pt>
                <c:pt idx="16">
                  <c:v>167</c:v>
                </c:pt>
                <c:pt idx="17">
                  <c:v>200</c:v>
                </c:pt>
                <c:pt idx="18">
                  <c:v>203</c:v>
                </c:pt>
                <c:pt idx="19">
                  <c:v>176</c:v>
                </c:pt>
                <c:pt idx="20">
                  <c:v>311</c:v>
                </c:pt>
                <c:pt idx="21">
                  <c:v>354</c:v>
                </c:pt>
                <c:pt idx="22">
                  <c:v>349</c:v>
                </c:pt>
                <c:pt idx="23">
                  <c:v>341</c:v>
                </c:pt>
                <c:pt idx="24">
                  <c:v>345</c:v>
                </c:pt>
                <c:pt idx="25">
                  <c:v>316</c:v>
                </c:pt>
                <c:pt idx="26">
                  <c:v>311</c:v>
                </c:pt>
                <c:pt idx="27">
                  <c:v>354</c:v>
                </c:pt>
                <c:pt idx="28">
                  <c:v>349</c:v>
                </c:pt>
                <c:pt idx="29">
                  <c:v>341</c:v>
                </c:pt>
                <c:pt idx="30">
                  <c:v>600</c:v>
                </c:pt>
                <c:pt idx="31">
                  <c:v>710</c:v>
                </c:pt>
                <c:pt idx="32">
                  <c:v>700</c:v>
                </c:pt>
                <c:pt idx="33">
                  <c:v>601</c:v>
                </c:pt>
              </c:numCache>
            </c:numRef>
          </c:val>
        </c:ser>
        <c:marker val="1"/>
        <c:axId val="152380160"/>
        <c:axId val="152381696"/>
      </c:lineChart>
      <c:catAx>
        <c:axId val="152380160"/>
        <c:scaling>
          <c:orientation val="minMax"/>
        </c:scaling>
        <c:axPos val="b"/>
        <c:numFmt formatCode="General" sourceLinked="1"/>
        <c:tickLblPos val="nextTo"/>
        <c:crossAx val="152381696"/>
        <c:crosses val="autoZero"/>
        <c:auto val="1"/>
        <c:lblAlgn val="ctr"/>
        <c:lblOffset val="100"/>
      </c:catAx>
      <c:valAx>
        <c:axId val="152381696"/>
        <c:scaling>
          <c:orientation val="minMax"/>
        </c:scaling>
        <c:axPos val="l"/>
        <c:majorGridlines/>
        <c:numFmt formatCode="General" sourceLinked="1"/>
        <c:tickLblPos val="nextTo"/>
        <c:crossAx val="15238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pivotSource>
    <c:name>[kmeansClusters.xlsm]Pivot3Variables!Tabla dinámica7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Pivot3Variables!$B$3:$B$4</c:f>
              <c:strCache>
                <c:ptCount val="1"/>
                <c:pt idx="0">
                  <c:v>Suma de x</c:v>
                </c:pt>
              </c:strCache>
            </c:strRef>
          </c:tx>
          <c:cat>
            <c:strRef>
              <c:f>Pivot3Variables!$A$5:$A$9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Pivot3Variables!$B$5:$B$9</c:f>
              <c:numCache>
                <c:formatCode>General</c:formatCode>
                <c:ptCount val="4"/>
                <c:pt idx="0">
                  <c:v>187</c:v>
                </c:pt>
                <c:pt idx="1">
                  <c:v>222</c:v>
                </c:pt>
                <c:pt idx="2">
                  <c:v>224</c:v>
                </c:pt>
                <c:pt idx="3">
                  <c:v>225</c:v>
                </c:pt>
              </c:numCache>
            </c:numRef>
          </c:val>
        </c:ser>
        <c:ser>
          <c:idx val="1"/>
          <c:order val="1"/>
          <c:tx>
            <c:strRef>
              <c:f>Pivot3Variables!$C$3:$C$4</c:f>
              <c:strCache>
                <c:ptCount val="1"/>
                <c:pt idx="0">
                  <c:v>Suma de y</c:v>
                </c:pt>
              </c:strCache>
            </c:strRef>
          </c:tx>
          <c:cat>
            <c:strRef>
              <c:f>Pivot3Variables!$A$5:$A$9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Pivot3Variables!$C$5:$C$9</c:f>
              <c:numCache>
                <c:formatCode>General</c:formatCode>
                <c:ptCount val="4"/>
                <c:pt idx="0">
                  <c:v>600</c:v>
                </c:pt>
                <c:pt idx="1">
                  <c:v>710</c:v>
                </c:pt>
                <c:pt idx="2">
                  <c:v>700</c:v>
                </c:pt>
                <c:pt idx="3">
                  <c:v>601</c:v>
                </c:pt>
              </c:numCache>
            </c:numRef>
          </c:val>
        </c:ser>
        <c:ser>
          <c:idx val="2"/>
          <c:order val="2"/>
          <c:tx>
            <c:strRef>
              <c:f>Pivot3Variables!$D$3:$D$4</c:f>
              <c:strCache>
                <c:ptCount val="1"/>
                <c:pt idx="0">
                  <c:v>Suma de z</c:v>
                </c:pt>
              </c:strCache>
            </c:strRef>
          </c:tx>
          <c:cat>
            <c:strRef>
              <c:f>Pivot3Variables!$A$5:$A$9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Pivot3Variables!$D$5:$D$9</c:f>
              <c:numCache>
                <c:formatCode>General</c:formatCode>
                <c:ptCount val="4"/>
                <c:pt idx="0">
                  <c:v>339</c:v>
                </c:pt>
                <c:pt idx="1">
                  <c:v>335</c:v>
                </c:pt>
                <c:pt idx="2">
                  <c:v>600</c:v>
                </c:pt>
                <c:pt idx="3">
                  <c:v>710</c:v>
                </c:pt>
              </c:numCache>
            </c:numRef>
          </c:val>
        </c:ser>
        <c:axId val="152527616"/>
        <c:axId val="152529152"/>
      </c:barChart>
      <c:catAx>
        <c:axId val="152527616"/>
        <c:scaling>
          <c:orientation val="minMax"/>
        </c:scaling>
        <c:axPos val="b"/>
        <c:tickLblPos val="nextTo"/>
        <c:crossAx val="152529152"/>
        <c:crosses val="autoZero"/>
        <c:auto val="1"/>
        <c:lblAlgn val="ctr"/>
        <c:lblOffset val="100"/>
      </c:catAx>
      <c:valAx>
        <c:axId val="152529152"/>
        <c:scaling>
          <c:orientation val="minMax"/>
        </c:scaling>
        <c:axPos val="l"/>
        <c:majorGridlines/>
        <c:numFmt formatCode="General" sourceLinked="1"/>
        <c:tickLblPos val="nextTo"/>
        <c:crossAx val="152527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pivotSource>
    <c:name>[kmeansClusters.xlsm]Pivot4Vars!Tabla dinámica8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Pivot4Vars!$B$3:$B$4</c:f>
              <c:strCache>
                <c:ptCount val="1"/>
                <c:pt idx="0">
                  <c:v>Suma de x</c:v>
                </c:pt>
              </c:strCache>
            </c:strRef>
          </c:tx>
          <c:cat>
            <c:strRef>
              <c:f>Pivot4Vars!$A$5:$A$9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Pivot4Vars!$B$5:$B$9</c:f>
              <c:numCache>
                <c:formatCode>General</c:formatCode>
                <c:ptCount val="4"/>
                <c:pt idx="0">
                  <c:v>187</c:v>
                </c:pt>
                <c:pt idx="1">
                  <c:v>222</c:v>
                </c:pt>
                <c:pt idx="2">
                  <c:v>224</c:v>
                </c:pt>
                <c:pt idx="3">
                  <c:v>225</c:v>
                </c:pt>
              </c:numCache>
            </c:numRef>
          </c:val>
        </c:ser>
        <c:ser>
          <c:idx val="1"/>
          <c:order val="1"/>
          <c:tx>
            <c:strRef>
              <c:f>Pivot4Vars!$C$3:$C$4</c:f>
              <c:strCache>
                <c:ptCount val="1"/>
                <c:pt idx="0">
                  <c:v>Suma de y</c:v>
                </c:pt>
              </c:strCache>
            </c:strRef>
          </c:tx>
          <c:cat>
            <c:strRef>
              <c:f>Pivot4Vars!$A$5:$A$9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Pivot4Vars!$C$5:$C$9</c:f>
              <c:numCache>
                <c:formatCode>General</c:formatCode>
                <c:ptCount val="4"/>
                <c:pt idx="0">
                  <c:v>600</c:v>
                </c:pt>
                <c:pt idx="1">
                  <c:v>710</c:v>
                </c:pt>
                <c:pt idx="2">
                  <c:v>700</c:v>
                </c:pt>
                <c:pt idx="3">
                  <c:v>601</c:v>
                </c:pt>
              </c:numCache>
            </c:numRef>
          </c:val>
        </c:ser>
        <c:ser>
          <c:idx val="2"/>
          <c:order val="2"/>
          <c:tx>
            <c:strRef>
              <c:f>Pivot4Vars!$D$3:$D$4</c:f>
              <c:strCache>
                <c:ptCount val="1"/>
                <c:pt idx="0">
                  <c:v>Suma de z</c:v>
                </c:pt>
              </c:strCache>
            </c:strRef>
          </c:tx>
          <c:cat>
            <c:strRef>
              <c:f>Pivot4Vars!$A$5:$A$9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Pivot4Vars!$D$5:$D$9</c:f>
              <c:numCache>
                <c:formatCode>General</c:formatCode>
                <c:ptCount val="4"/>
                <c:pt idx="0">
                  <c:v>339</c:v>
                </c:pt>
                <c:pt idx="1">
                  <c:v>335</c:v>
                </c:pt>
                <c:pt idx="2">
                  <c:v>600</c:v>
                </c:pt>
                <c:pt idx="3">
                  <c:v>710</c:v>
                </c:pt>
              </c:numCache>
            </c:numRef>
          </c:val>
        </c:ser>
        <c:ser>
          <c:idx val="3"/>
          <c:order val="3"/>
          <c:tx>
            <c:strRef>
              <c:f>Pivot4Vars!$E$3:$E$4</c:f>
              <c:strCache>
                <c:ptCount val="1"/>
                <c:pt idx="0">
                  <c:v>Suma de w</c:v>
                </c:pt>
              </c:strCache>
            </c:strRef>
          </c:tx>
          <c:cat>
            <c:strRef>
              <c:f>Pivot4Vars!$A$5:$A$9</c:f>
              <c:strCache>
                <c:ptCount val="4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</c:strCache>
            </c:strRef>
          </c:cat>
          <c:val>
            <c:numRef>
              <c:f>Pivot4Vars!$E$5:$E$9</c:f>
              <c:numCache>
                <c:formatCode>General</c:formatCode>
                <c:ptCount val="4"/>
                <c:pt idx="0">
                  <c:v>354</c:v>
                </c:pt>
                <c:pt idx="1">
                  <c:v>349</c:v>
                </c:pt>
                <c:pt idx="2">
                  <c:v>354</c:v>
                </c:pt>
                <c:pt idx="3">
                  <c:v>349</c:v>
                </c:pt>
              </c:numCache>
            </c:numRef>
          </c:val>
        </c:ser>
        <c:axId val="152696320"/>
        <c:axId val="152697856"/>
      </c:barChart>
      <c:catAx>
        <c:axId val="152696320"/>
        <c:scaling>
          <c:orientation val="minMax"/>
        </c:scaling>
        <c:axPos val="b"/>
        <c:tickLblPos val="nextTo"/>
        <c:crossAx val="152697856"/>
        <c:crosses val="autoZero"/>
        <c:auto val="1"/>
        <c:lblAlgn val="ctr"/>
        <c:lblOffset val="100"/>
      </c:catAx>
      <c:valAx>
        <c:axId val="152697856"/>
        <c:scaling>
          <c:orientation val="minMax"/>
        </c:scaling>
        <c:axPos val="l"/>
        <c:majorGridlines/>
        <c:numFmt formatCode="General" sourceLinked="1"/>
        <c:tickLblPos val="nextTo"/>
        <c:crossAx val="152696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Pr>
        <a:bodyPr/>
        <a:lstStyle/>
        <a:p>
          <a:pPr>
            <a:defRPr lang="en-US"/>
          </a:pPr>
          <a:endParaRPr lang="es-E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clustersavgstd!$A$1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>
              <a:noFill/>
            </a:ln>
          </c:spPr>
          <c:yVal>
            <c:numRef>
              <c:f>clustersavgstd!$A$2:$A$9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27.2</c:v>
                </c:pt>
                <c:pt idx="3">
                  <c:v>6</c:v>
                </c:pt>
                <c:pt idx="4">
                  <c:v>26</c:v>
                </c:pt>
                <c:pt idx="5">
                  <c:v>39.200000000000003</c:v>
                </c:pt>
                <c:pt idx="6">
                  <c:v>39.6</c:v>
                </c:pt>
                <c:pt idx="7">
                  <c:v>0.2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72E-4327-88BB-D3F86765CA5E}"/>
            </c:ext>
          </c:extLst>
        </c:ser>
        <c:axId val="152799872"/>
        <c:axId val="152822144"/>
      </c:scatterChart>
      <c:valAx>
        <c:axId val="15279987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2822144"/>
        <c:crosses val="autoZero"/>
        <c:crossBetween val="midCat"/>
      </c:valAx>
      <c:valAx>
        <c:axId val="15282214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27998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clustersavgstd!$A$10:$A$16</c:f>
              <c:numCache>
                <c:formatCode>General</c:formatCode>
                <c:ptCount val="7"/>
                <c:pt idx="0">
                  <c:v>207.6</c:v>
                </c:pt>
                <c:pt idx="1">
                  <c:v>194.8</c:v>
                </c:pt>
                <c:pt idx="2">
                  <c:v>228</c:v>
                </c:pt>
                <c:pt idx="3">
                  <c:v>185.6</c:v>
                </c:pt>
                <c:pt idx="4">
                  <c:v>198.8</c:v>
                </c:pt>
                <c:pt idx="5">
                  <c:v>211.2</c:v>
                </c:pt>
                <c:pt idx="6">
                  <c:v>202.8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6378-40D8-AE79-8F5D44F68FDB}"/>
            </c:ext>
          </c:extLst>
        </c:ser>
        <c:axId val="152729088"/>
        <c:axId val="153118592"/>
      </c:scatterChart>
      <c:valAx>
        <c:axId val="152729088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118592"/>
        <c:crosses val="autoZero"/>
        <c:crossBetween val="midCat"/>
      </c:valAx>
      <c:valAx>
        <c:axId val="15311859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27290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clustersavgstd!$A$17:$A$24</c:f>
              <c:numCache>
                <c:formatCode>General</c:formatCode>
                <c:ptCount val="8"/>
                <c:pt idx="0">
                  <c:v>174.8</c:v>
                </c:pt>
                <c:pt idx="1">
                  <c:v>119.6</c:v>
                </c:pt>
                <c:pt idx="2">
                  <c:v>171.2</c:v>
                </c:pt>
                <c:pt idx="3">
                  <c:v>159.19999999999999</c:v>
                </c:pt>
                <c:pt idx="4">
                  <c:v>158.80000000000001</c:v>
                </c:pt>
                <c:pt idx="5">
                  <c:v>138.80000000000001</c:v>
                </c:pt>
                <c:pt idx="6">
                  <c:v>136.4</c:v>
                </c:pt>
                <c:pt idx="7">
                  <c:v>160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AEC3-48D0-80A3-50D23D179B8E}"/>
            </c:ext>
          </c:extLst>
        </c:ser>
        <c:axId val="152762624"/>
        <c:axId val="153145344"/>
      </c:scatterChart>
      <c:valAx>
        <c:axId val="152762624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145344"/>
        <c:crosses val="autoZero"/>
        <c:crossBetween val="midCat"/>
      </c:valAx>
      <c:valAx>
        <c:axId val="15314534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2762624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clustersavgstd!$A$25:$A$28</c:f>
              <c:numCache>
                <c:formatCode>General</c:formatCode>
                <c:ptCount val="4"/>
                <c:pt idx="0">
                  <c:v>92.4</c:v>
                </c:pt>
                <c:pt idx="1">
                  <c:v>62.4</c:v>
                </c:pt>
                <c:pt idx="2">
                  <c:v>78</c:v>
                </c:pt>
                <c:pt idx="3">
                  <c:v>64.400000000000006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F1B-49AA-84B2-717A13DDCD64}"/>
            </c:ext>
          </c:extLst>
        </c:ser>
        <c:axId val="153248128"/>
        <c:axId val="153249664"/>
      </c:scatterChart>
      <c:valAx>
        <c:axId val="153248128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249664"/>
        <c:crosses val="autoZero"/>
        <c:crossBetween val="midCat"/>
      </c:valAx>
      <c:valAx>
        <c:axId val="15324966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248128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n-US"/>
            </a:pPr>
            <a:r>
              <a:rPr lang="es-ES"/>
              <a:t>Revenue all Clusters </a:t>
            </a:r>
          </a:p>
        </c:rich>
      </c:tx>
      <c:layout>
        <c:manualLayout>
          <c:xMode val="edge"/>
          <c:yMode val="edge"/>
          <c:x val="0.23755555555555555"/>
          <c:y val="3.2407407407407426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clustersavgstd!$A$1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>
              <a:noFill/>
            </a:ln>
          </c:spPr>
          <c:yVal>
            <c:numRef>
              <c:f>clustersavgstd!$A$2:$A$28</c:f>
              <c:numCache>
                <c:formatCode>General</c:formatCode>
                <c:ptCount val="27"/>
                <c:pt idx="0">
                  <c:v>4</c:v>
                </c:pt>
                <c:pt idx="1">
                  <c:v>8</c:v>
                </c:pt>
                <c:pt idx="2">
                  <c:v>27.2</c:v>
                </c:pt>
                <c:pt idx="3">
                  <c:v>6</c:v>
                </c:pt>
                <c:pt idx="4">
                  <c:v>26</c:v>
                </c:pt>
                <c:pt idx="5">
                  <c:v>39.200000000000003</c:v>
                </c:pt>
                <c:pt idx="6">
                  <c:v>39.6</c:v>
                </c:pt>
                <c:pt idx="7">
                  <c:v>0.2</c:v>
                </c:pt>
                <c:pt idx="8">
                  <c:v>207.6</c:v>
                </c:pt>
                <c:pt idx="9">
                  <c:v>194.8</c:v>
                </c:pt>
                <c:pt idx="10">
                  <c:v>228</c:v>
                </c:pt>
                <c:pt idx="11">
                  <c:v>185.6</c:v>
                </c:pt>
                <c:pt idx="12">
                  <c:v>198.8</c:v>
                </c:pt>
                <c:pt idx="13">
                  <c:v>211.2</c:v>
                </c:pt>
                <c:pt idx="14">
                  <c:v>202.8</c:v>
                </c:pt>
                <c:pt idx="15">
                  <c:v>174.8</c:v>
                </c:pt>
                <c:pt idx="16">
                  <c:v>119.6</c:v>
                </c:pt>
                <c:pt idx="17">
                  <c:v>171.2</c:v>
                </c:pt>
                <c:pt idx="18">
                  <c:v>159.19999999999999</c:v>
                </c:pt>
                <c:pt idx="19">
                  <c:v>158.80000000000001</c:v>
                </c:pt>
                <c:pt idx="20">
                  <c:v>138.80000000000001</c:v>
                </c:pt>
                <c:pt idx="21">
                  <c:v>136.4</c:v>
                </c:pt>
                <c:pt idx="22">
                  <c:v>160</c:v>
                </c:pt>
                <c:pt idx="23">
                  <c:v>92.4</c:v>
                </c:pt>
                <c:pt idx="24">
                  <c:v>62.4</c:v>
                </c:pt>
                <c:pt idx="25">
                  <c:v>78</c:v>
                </c:pt>
                <c:pt idx="26">
                  <c:v>64.400000000000006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A8C-41E7-BFE5-181E0D6527C5}"/>
            </c:ext>
          </c:extLst>
        </c:ser>
        <c:axId val="153403392"/>
        <c:axId val="153404928"/>
      </c:scatterChart>
      <c:valAx>
        <c:axId val="15340339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404928"/>
        <c:crosses val="autoZero"/>
        <c:crossBetween val="midCat"/>
      </c:valAx>
      <c:valAx>
        <c:axId val="153404928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403392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n-US"/>
            </a:pPr>
            <a:r>
              <a:rPr lang="en-US"/>
              <a:t>Segment Two Revenue-Sales</a:t>
            </a:r>
          </a:p>
        </c:rich>
      </c:tx>
      <c:layout>
        <c:manualLayout>
          <c:xMode val="edge"/>
          <c:yMode val="edge"/>
          <c:x val="2.3333333333333341E-2"/>
          <c:y val="0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'2dclusteravgst'!$B$1</c:f>
              <c:strCache>
                <c:ptCount val="1"/>
                <c:pt idx="0">
                  <c:v>Revenue-Sales</c:v>
                </c:pt>
              </c:strCache>
            </c:strRef>
          </c:tx>
          <c:spPr>
            <a:ln w="28575">
              <a:noFill/>
            </a:ln>
          </c:spPr>
          <c:xVal>
            <c:numRef>
              <c:f>'2dclusteravgst'!$A$2:$A$28</c:f>
              <c:numCache>
                <c:formatCode>General</c:formatCode>
                <c:ptCount val="7"/>
                <c:pt idx="0">
                  <c:v>4.8</c:v>
                </c:pt>
                <c:pt idx="1">
                  <c:v>4.7200000759999998</c:v>
                </c:pt>
                <c:pt idx="2">
                  <c:v>6.9599998479999998</c:v>
                </c:pt>
                <c:pt idx="3">
                  <c:v>4.5200000759999996</c:v>
                </c:pt>
                <c:pt idx="4">
                  <c:v>4.5999999999999996</c:v>
                </c:pt>
                <c:pt idx="5">
                  <c:v>4.920000076</c:v>
                </c:pt>
                <c:pt idx="6">
                  <c:v>4.8</c:v>
                </c:pt>
              </c:numCache>
            </c:numRef>
          </c:xVal>
          <c:yVal>
            <c:numRef>
              <c:f>'2dclusteravgst'!$B$2:$B$28</c:f>
              <c:numCache>
                <c:formatCode>General</c:formatCode>
                <c:ptCount val="7"/>
                <c:pt idx="0">
                  <c:v>207.6</c:v>
                </c:pt>
                <c:pt idx="1">
                  <c:v>194.8</c:v>
                </c:pt>
                <c:pt idx="2">
                  <c:v>228</c:v>
                </c:pt>
                <c:pt idx="3">
                  <c:v>185.6</c:v>
                </c:pt>
                <c:pt idx="4">
                  <c:v>198.8</c:v>
                </c:pt>
                <c:pt idx="5">
                  <c:v>211.2</c:v>
                </c:pt>
                <c:pt idx="6">
                  <c:v>202.8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A21B-42D0-8452-332BFD8B2E41}"/>
            </c:ext>
          </c:extLst>
        </c:ser>
        <c:axId val="153089920"/>
        <c:axId val="153091456"/>
      </c:scatterChart>
      <c:valAx>
        <c:axId val="153089920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091456"/>
        <c:crosses val="autoZero"/>
        <c:crossBetween val="midCat"/>
      </c:valAx>
      <c:valAx>
        <c:axId val="15309145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s-ES"/>
          </a:p>
        </c:txPr>
        <c:crossAx val="153089920"/>
        <c:crosses val="autoZero"/>
        <c:crossBetween val="midCat"/>
      </c:valAx>
    </c:plotArea>
    <c:legend>
      <c:legendPos val="r"/>
      <c:txPr>
        <a:bodyPr/>
        <a:lstStyle/>
        <a:p>
          <a:pPr>
            <a:defRPr lang="en-US"/>
          </a:pPr>
          <a:endParaRPr lang="es-ES"/>
        </a:p>
      </c:tx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0</xdr:row>
      <xdr:rowOff>91440</xdr:rowOff>
    </xdr:from>
    <xdr:to>
      <xdr:col>9</xdr:col>
      <xdr:colOff>396240</xdr:colOff>
      <xdr:row>15</xdr:row>
      <xdr:rowOff>91440</xdr:rowOff>
    </xdr:to>
    <xdr:graphicFrame macro="">
      <xdr:nvGraphicFramePr>
        <xdr:cNvPr id="17" name="1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533400</xdr:colOff>
      <xdr:row>16</xdr:row>
      <xdr:rowOff>68579</xdr:rowOff>
    </xdr:from>
    <xdr:to>
      <xdr:col>7</xdr:col>
      <xdr:colOff>586740</xdr:colOff>
      <xdr:row>32</xdr:row>
      <xdr:rowOff>110956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002280" y="2994659"/>
          <a:ext cx="3223260" cy="296845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739140</xdr:colOff>
      <xdr:row>2</xdr:row>
      <xdr:rowOff>53340</xdr:rowOff>
    </xdr:from>
    <xdr:to>
      <xdr:col>9</xdr:col>
      <xdr:colOff>495300</xdr:colOff>
      <xdr:row>21</xdr:row>
      <xdr:rowOff>38100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4</xdr:row>
      <xdr:rowOff>76200</xdr:rowOff>
    </xdr:from>
    <xdr:to>
      <xdr:col>9</xdr:col>
      <xdr:colOff>22860</xdr:colOff>
      <xdr:row>19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678180</xdr:colOff>
      <xdr:row>16</xdr:row>
      <xdr:rowOff>93496</xdr:rowOff>
    </xdr:from>
    <xdr:to>
      <xdr:col>11</xdr:col>
      <xdr:colOff>739140</xdr:colOff>
      <xdr:row>36</xdr:row>
      <xdr:rowOff>22860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33060" y="3019576"/>
          <a:ext cx="4023360" cy="358696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556260</xdr:colOff>
      <xdr:row>0</xdr:row>
      <xdr:rowOff>175260</xdr:rowOff>
    </xdr:from>
    <xdr:to>
      <xdr:col>12</xdr:col>
      <xdr:colOff>403860</xdr:colOff>
      <xdr:row>25</xdr:row>
      <xdr:rowOff>160020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2</xdr:row>
      <xdr:rowOff>137160</xdr:rowOff>
    </xdr:from>
    <xdr:to>
      <xdr:col>9</xdr:col>
      <xdr:colOff>716280</xdr:colOff>
      <xdr:row>17</xdr:row>
      <xdr:rowOff>137160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510540</xdr:colOff>
      <xdr:row>15</xdr:row>
      <xdr:rowOff>68580</xdr:rowOff>
    </xdr:from>
    <xdr:to>
      <xdr:col>14</xdr:col>
      <xdr:colOff>678180</xdr:colOff>
      <xdr:row>42</xdr:row>
      <xdr:rowOff>68580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57900" y="2811780"/>
          <a:ext cx="5715000" cy="49377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739140</xdr:colOff>
      <xdr:row>45</xdr:row>
      <xdr:rowOff>91440</xdr:rowOff>
    </xdr:from>
    <xdr:to>
      <xdr:col>15</xdr:col>
      <xdr:colOff>91440</xdr:colOff>
      <xdr:row>74</xdr:row>
      <xdr:rowOff>137160</xdr:rowOff>
    </xdr:to>
    <xdr:pic>
      <xdr:nvPicPr>
        <xdr:cNvPr id="717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286500" y="8321040"/>
          <a:ext cx="5692140" cy="534924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350520</xdr:colOff>
      <xdr:row>2</xdr:row>
      <xdr:rowOff>68580</xdr:rowOff>
    </xdr:from>
    <xdr:to>
      <xdr:col>8</xdr:col>
      <xdr:colOff>518160</xdr:colOff>
      <xdr:row>17</xdr:row>
      <xdr:rowOff>68580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739140</xdr:colOff>
      <xdr:row>1</xdr:row>
      <xdr:rowOff>137160</xdr:rowOff>
    </xdr:from>
    <xdr:to>
      <xdr:col>14</xdr:col>
      <xdr:colOff>144780</xdr:colOff>
      <xdr:row>31</xdr:row>
      <xdr:rowOff>38100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94020" y="320040"/>
          <a:ext cx="5745480" cy="538734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68580</xdr:rowOff>
    </xdr:from>
    <xdr:to>
      <xdr:col>12</xdr:col>
      <xdr:colOff>106680</xdr:colOff>
      <xdr:row>15</xdr:row>
      <xdr:rowOff>106680</xdr:rowOff>
    </xdr:to>
    <xdr:pic>
      <xdr:nvPicPr>
        <xdr:cNvPr id="1026" name="Picture 2">
          <a:extLst>
            <a:ext uri="{FF2B5EF4-FFF2-40B4-BE49-F238E27FC236}">
              <a16:creationId xmlns=""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38700" y="251460"/>
          <a:ext cx="5654040" cy="259842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106680</xdr:colOff>
      <xdr:row>17</xdr:row>
      <xdr:rowOff>68580</xdr:rowOff>
    </xdr:from>
    <xdr:to>
      <xdr:col>13</xdr:col>
      <xdr:colOff>335280</xdr:colOff>
      <xdr:row>43</xdr:row>
      <xdr:rowOff>30480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45380" y="3177540"/>
          <a:ext cx="5775960" cy="4716780"/>
        </a:xfrm>
        <a:prstGeom prst="rect">
          <a:avLst/>
        </a:prstGeom>
        <a:noFill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800100</xdr:colOff>
      <xdr:row>0</xdr:row>
      <xdr:rowOff>137160</xdr:rowOff>
    </xdr:from>
    <xdr:to>
      <xdr:col>9</xdr:col>
      <xdr:colOff>274320</xdr:colOff>
      <xdr:row>15</xdr:row>
      <xdr:rowOff>137160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434340</xdr:colOff>
      <xdr:row>0</xdr:row>
      <xdr:rowOff>106680</xdr:rowOff>
    </xdr:from>
    <xdr:to>
      <xdr:col>15</xdr:col>
      <xdr:colOff>251460</xdr:colOff>
      <xdr:row>15</xdr:row>
      <xdr:rowOff>106680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822960</xdr:colOff>
      <xdr:row>16</xdr:row>
      <xdr:rowOff>152400</xdr:rowOff>
    </xdr:from>
    <xdr:to>
      <xdr:col>9</xdr:col>
      <xdr:colOff>297180</xdr:colOff>
      <xdr:row>31</xdr:row>
      <xdr:rowOff>152400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579120</xdr:colOff>
      <xdr:row>16</xdr:row>
      <xdr:rowOff>15240</xdr:rowOff>
    </xdr:from>
    <xdr:to>
      <xdr:col>15</xdr:col>
      <xdr:colOff>396240</xdr:colOff>
      <xdr:row>31</xdr:row>
      <xdr:rowOff>15240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640080</xdr:colOff>
      <xdr:row>36</xdr:row>
      <xdr:rowOff>175260</xdr:rowOff>
    </xdr:from>
    <xdr:to>
      <xdr:col>9</xdr:col>
      <xdr:colOff>114300</xdr:colOff>
      <xdr:row>51</xdr:row>
      <xdr:rowOff>175260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</xdr:colOff>
      <xdr:row>3</xdr:row>
      <xdr:rowOff>76200</xdr:rowOff>
    </xdr:from>
    <xdr:to>
      <xdr:col>14</xdr:col>
      <xdr:colOff>251460</xdr:colOff>
      <xdr:row>3</xdr:row>
      <xdr:rowOff>83820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86F3393D-52AF-4C62-83D6-A1A0BFC88D42}"/>
            </a:ext>
          </a:extLst>
        </xdr:cNvPr>
        <xdr:cNvCxnSpPr/>
      </xdr:nvCxnSpPr>
      <xdr:spPr>
        <a:xfrm flipV="1">
          <a:off x="7985760" y="624840"/>
          <a:ext cx="3360420" cy="762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60960</xdr:colOff>
      <xdr:row>2</xdr:row>
      <xdr:rowOff>129540</xdr:rowOff>
    </xdr:from>
    <xdr:to>
      <xdr:col>14</xdr:col>
      <xdr:colOff>251460</xdr:colOff>
      <xdr:row>2</xdr:row>
      <xdr:rowOff>137160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6FA3C517-ED3F-418D-889E-EBDCC24AC4D6}"/>
            </a:ext>
          </a:extLst>
        </xdr:cNvPr>
        <xdr:cNvCxnSpPr/>
      </xdr:nvCxnSpPr>
      <xdr:spPr>
        <a:xfrm flipV="1">
          <a:off x="7985760" y="495300"/>
          <a:ext cx="3360420" cy="762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</xdr:colOff>
      <xdr:row>4</xdr:row>
      <xdr:rowOff>53340</xdr:rowOff>
    </xdr:from>
    <xdr:to>
      <xdr:col>14</xdr:col>
      <xdr:colOff>259080</xdr:colOff>
      <xdr:row>4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9D784EF4-1711-48F5-958F-F717F4B0AA10}"/>
            </a:ext>
          </a:extLst>
        </xdr:cNvPr>
        <xdr:cNvCxnSpPr/>
      </xdr:nvCxnSpPr>
      <xdr:spPr>
        <a:xfrm flipV="1">
          <a:off x="7993380" y="784860"/>
          <a:ext cx="3360420" cy="762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396240</xdr:colOff>
      <xdr:row>3</xdr:row>
      <xdr:rowOff>83820</xdr:rowOff>
    </xdr:from>
    <xdr:to>
      <xdr:col>12</xdr:col>
      <xdr:colOff>396240</xdr:colOff>
      <xdr:row>6</xdr:row>
      <xdr:rowOff>167640</xdr:rowOff>
    </xdr:to>
    <xdr:cxnSp macro="">
      <xdr:nvCxnSpPr>
        <xdr:cNvPr id="12" name="Straight Arrow Connector 11">
          <a:extLst>
            <a:ext uri="{FF2B5EF4-FFF2-40B4-BE49-F238E27FC236}">
              <a16:creationId xmlns="" xmlns:a16="http://schemas.microsoft.com/office/drawing/2014/main" id="{226FFAA8-E81B-4DCA-8ABA-816EC831E019}"/>
            </a:ext>
          </a:extLst>
        </xdr:cNvPr>
        <xdr:cNvCxnSpPr/>
      </xdr:nvCxnSpPr>
      <xdr:spPr>
        <a:xfrm flipV="1">
          <a:off x="9906000" y="632460"/>
          <a:ext cx="0" cy="63246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762000</xdr:colOff>
      <xdr:row>4</xdr:row>
      <xdr:rowOff>60960</xdr:rowOff>
    </xdr:from>
    <xdr:to>
      <xdr:col>10</xdr:col>
      <xdr:colOff>769620</xdr:colOff>
      <xdr:row>9</xdr:row>
      <xdr:rowOff>45720</xdr:rowOff>
    </xdr:to>
    <xdr:cxnSp macro="">
      <xdr:nvCxnSpPr>
        <xdr:cNvPr id="13" name="Straight Arrow Connector 12">
          <a:extLst>
            <a:ext uri="{FF2B5EF4-FFF2-40B4-BE49-F238E27FC236}">
              <a16:creationId xmlns="" xmlns:a16="http://schemas.microsoft.com/office/drawing/2014/main" id="{9C99386A-FB6F-4EDF-A480-5EFC3BF8C714}"/>
            </a:ext>
          </a:extLst>
        </xdr:cNvPr>
        <xdr:cNvCxnSpPr/>
      </xdr:nvCxnSpPr>
      <xdr:spPr>
        <a:xfrm flipH="1" flipV="1">
          <a:off x="8686800" y="792480"/>
          <a:ext cx="7620" cy="89916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30480</xdr:colOff>
      <xdr:row>2</xdr:row>
      <xdr:rowOff>129540</xdr:rowOff>
    </xdr:from>
    <xdr:to>
      <xdr:col>14</xdr:col>
      <xdr:colOff>30480</xdr:colOff>
      <xdr:row>11</xdr:row>
      <xdr:rowOff>99060</xdr:rowOff>
    </xdr:to>
    <xdr:cxnSp macro="">
      <xdr:nvCxnSpPr>
        <xdr:cNvPr id="15" name="Straight Arrow Connector 14">
          <a:extLst>
            <a:ext uri="{FF2B5EF4-FFF2-40B4-BE49-F238E27FC236}">
              <a16:creationId xmlns="" xmlns:a16="http://schemas.microsoft.com/office/drawing/2014/main" id="{0E6C47E7-0D9F-4914-81D6-87335A700CD8}"/>
            </a:ext>
          </a:extLst>
        </xdr:cNvPr>
        <xdr:cNvCxnSpPr/>
      </xdr:nvCxnSpPr>
      <xdr:spPr>
        <a:xfrm flipV="1">
          <a:off x="11125200" y="495300"/>
          <a:ext cx="0" cy="161544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0.58444</cdr:x>
      <cdr:y>0.66852</cdr:y>
    </cdr:from>
    <cdr:to>
      <cdr:x>0.99167</cdr:x>
      <cdr:y>0.81389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0D210B5-9641-427A-8C95-5DE10DBDE5B0}"/>
            </a:ext>
          </a:extLst>
        </cdr:cNvPr>
        <cdr:cNvSpPr txBox="1"/>
      </cdr:nvSpPr>
      <cdr:spPr>
        <a:xfrm xmlns:a="http://schemas.openxmlformats.org/drawingml/2006/main">
          <a:off x="2672080" y="183388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15.06</a:t>
          </a:r>
          <a:br>
            <a:rPr lang="en-US" sz="1100"/>
          </a:br>
          <a:r>
            <a:rPr lang="en-US" sz="1100"/>
            <a:t>Lower limit: 3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0.07111</cdr:x>
      <cdr:y>0.59907</cdr:y>
    </cdr:from>
    <cdr:to>
      <cdr:x>0.80611</cdr:x>
      <cdr:y>0.60185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="" xmlns:a16="http://schemas.microsoft.com/office/drawing/2014/main" id="{86F3393D-52AF-4C62-83D6-A1A0BFC88D42}"/>
            </a:ext>
          </a:extLst>
        </cdr:cNvPr>
        <cdr:cNvCxnSpPr/>
      </cdr:nvCxnSpPr>
      <cdr:spPr>
        <a:xfrm xmlns:a="http://schemas.openxmlformats.org/drawingml/2006/main" flipV="1">
          <a:off x="325120" y="164338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0.06611</cdr:x>
      <cdr:y>0.32407</cdr:y>
    </cdr:from>
    <cdr:to>
      <cdr:x>0.80111</cdr:x>
      <cdr:y>0.32685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="" xmlns:a16="http://schemas.microsoft.com/office/drawing/2014/main" id="{6FA3C517-ED3F-418D-889E-EBDCC24AC4D6}"/>
            </a:ext>
          </a:extLst>
        </cdr:cNvPr>
        <cdr:cNvCxnSpPr/>
      </cdr:nvCxnSpPr>
      <cdr:spPr>
        <a:xfrm xmlns:a="http://schemas.openxmlformats.org/drawingml/2006/main" flipV="1">
          <a:off x="302260" y="88900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0.07111</cdr:x>
      <cdr:y>0.8463</cdr:y>
    </cdr:from>
    <cdr:to>
      <cdr:x>0.80611</cdr:x>
      <cdr:y>0.84907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="" xmlns:a16="http://schemas.microsoft.com/office/drawing/2014/main" id="{9D784EF4-1711-48F5-958F-F717F4B0AA10}"/>
            </a:ext>
          </a:extLst>
        </cdr:cNvPr>
        <cdr:cNvCxnSpPr/>
      </cdr:nvCxnSpPr>
      <cdr:spPr>
        <a:xfrm xmlns:a="http://schemas.openxmlformats.org/drawingml/2006/main" flipV="1">
          <a:off x="325120" y="232156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0.68778</cdr:x>
      <cdr:y>0.37963</cdr:y>
    </cdr:from>
    <cdr:to>
      <cdr:x>0.96167</cdr:x>
      <cdr:y>0.48333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A20981E-58DD-4DEB-B28E-06EB4B08C16A}"/>
            </a:ext>
          </a:extLst>
        </cdr:cNvPr>
        <cdr:cNvSpPr txBox="1"/>
      </cdr:nvSpPr>
      <cdr:spPr>
        <a:xfrm xmlns:a="http://schemas.openxmlformats.org/drawingml/2006/main">
          <a:off x="3144520" y="1041400"/>
          <a:ext cx="1252220" cy="2844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Average</a:t>
          </a:r>
          <a:r>
            <a:rPr lang="en-US" sz="1100" baseline="0"/>
            <a:t> = 18.775</a:t>
          </a:r>
          <a:r>
            <a:rPr lang="en-US" sz="1100"/>
            <a:t/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0.01833</cdr:x>
      <cdr:y>0.04907</cdr:y>
    </cdr:from>
    <cdr:to>
      <cdr:x>0.40167</cdr:x>
      <cdr:y>0.19444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69C9276-380D-4EBE-BF4E-AF30551FEF76}"/>
            </a:ext>
          </a:extLst>
        </cdr:cNvPr>
        <cdr:cNvSpPr txBox="1"/>
      </cdr:nvSpPr>
      <cdr:spPr>
        <a:xfrm xmlns:a="http://schemas.openxmlformats.org/drawingml/2006/main">
          <a:off x="83820" y="134620"/>
          <a:ext cx="175260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15.06</a:t>
          </a:r>
          <a:br>
            <a:rPr lang="en-US" sz="1100"/>
          </a:br>
          <a:r>
            <a:rPr lang="en-US" sz="1100"/>
            <a:t>Upeer limit: 33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0.80167</cdr:x>
      <cdr:y>0.81111</cdr:y>
    </cdr:from>
    <cdr:to>
      <cdr:x>0.89</cdr:x>
      <cdr:y>0.85278</cdr:y>
    </cdr:to>
    <cdr:cxnSp macro="">
      <cdr:nvCxnSpPr>
        <cdr:cNvPr id="9" name="Straight Arrow Connector 8">
          <a:extLst xmlns:a="http://schemas.openxmlformats.org/drawingml/2006/main">
            <a:ext uri="{FF2B5EF4-FFF2-40B4-BE49-F238E27FC236}">
              <a16:creationId xmlns="" xmlns:a16="http://schemas.microsoft.com/office/drawing/2014/main" id="{9C99386A-FB6F-4EDF-A480-5EFC3BF8C714}"/>
            </a:ext>
          </a:extLst>
        </cdr:cNvPr>
        <cdr:cNvCxnSpPr/>
      </cdr:nvCxnSpPr>
      <cdr:spPr>
        <a:xfrm xmlns:a="http://schemas.openxmlformats.org/drawingml/2006/main" flipH="1">
          <a:off x="3665220" y="2225040"/>
          <a:ext cx="403860" cy="11430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0.75667</cdr:x>
      <cdr:y>0.48519</cdr:y>
    </cdr:from>
    <cdr:to>
      <cdr:x>0.81111</cdr:x>
      <cdr:y>0.60278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="" xmlns:a16="http://schemas.microsoft.com/office/drawing/2014/main" id="{4713D5F0-A155-4655-A8A0-75F68C415F0E}"/>
            </a:ext>
          </a:extLst>
        </cdr:cNvPr>
        <cdr:cNvCxnSpPr/>
      </cdr:nvCxnSpPr>
      <cdr:spPr>
        <a:xfrm xmlns:a="http://schemas.openxmlformats.org/drawingml/2006/main" flipH="1">
          <a:off x="3459480" y="1330960"/>
          <a:ext cx="248920" cy="32258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0.24556</cdr:x>
      <cdr:y>0.18796</cdr:y>
    </cdr:from>
    <cdr:to>
      <cdr:x>0.25167</cdr:x>
      <cdr:y>0.32778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="" xmlns:a16="http://schemas.microsoft.com/office/drawing/2014/main" id="{BC1BB941-1AFF-4E52-AABB-CEECE94C8923}"/>
            </a:ext>
          </a:extLst>
        </cdr:cNvPr>
        <cdr:cNvCxnSpPr/>
      </cdr:nvCxnSpPr>
      <cdr:spPr>
        <a:xfrm xmlns:a="http://schemas.openxmlformats.org/drawingml/2006/main">
          <a:off x="1122680" y="515620"/>
          <a:ext cx="27940" cy="38354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0.42167</cdr:x>
      <cdr:y>0.43333</cdr:y>
    </cdr:from>
    <cdr:to>
      <cdr:x>0.64833</cdr:x>
      <cdr:y>0.53889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CA84E06-883D-4796-BA8E-D34BA32F972B}"/>
            </a:ext>
          </a:extLst>
        </cdr:cNvPr>
        <cdr:cNvSpPr txBox="1"/>
      </cdr:nvSpPr>
      <cdr:spPr>
        <a:xfrm xmlns:a="http://schemas.openxmlformats.org/drawingml/2006/main">
          <a:off x="1927860" y="1188720"/>
          <a:ext cx="1036320" cy="28956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Average = 204</a:t>
          </a:r>
        </a:p>
      </cdr:txBody>
    </cdr:sp>
  </cdr:relSizeAnchor>
  <cdr:relSizeAnchor xmlns:cdr="http://schemas.openxmlformats.org/drawingml/2006/chartDrawing">
    <cdr:from>
      <cdr:x>0.13444</cdr:x>
      <cdr:y>0.5713</cdr:y>
    </cdr:from>
    <cdr:to>
      <cdr:x>0.54167</cdr:x>
      <cdr:y>0.71667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24C8F4D-60A6-4CBE-8D0D-5D4D7A025C3F}"/>
            </a:ext>
          </a:extLst>
        </cdr:cNvPr>
        <cdr:cNvSpPr txBox="1"/>
      </cdr:nvSpPr>
      <cdr:spPr>
        <a:xfrm xmlns:a="http://schemas.openxmlformats.org/drawingml/2006/main">
          <a:off x="614680" y="156718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12.49</a:t>
          </a:r>
          <a:br>
            <a:rPr lang="en-US" sz="1100"/>
          </a:br>
          <a:r>
            <a:rPr lang="en-US" sz="1100"/>
            <a:t>Lower limit: 192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0.57444</cdr:x>
      <cdr:y>0.73519</cdr:y>
    </cdr:from>
    <cdr:to>
      <cdr:x>0.98167</cdr:x>
      <cdr:y>0.88056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A94A6AE-3D7D-4461-8D32-A8D27F77ECF5}"/>
            </a:ext>
          </a:extLst>
        </cdr:cNvPr>
        <cdr:cNvSpPr txBox="1"/>
      </cdr:nvSpPr>
      <cdr:spPr>
        <a:xfrm xmlns:a="http://schemas.openxmlformats.org/drawingml/2006/main">
          <a:off x="2626360" y="201676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12.49</a:t>
          </a:r>
          <a:br>
            <a:rPr lang="en-US" sz="1100"/>
          </a:br>
          <a:r>
            <a:rPr lang="en-US" sz="1100"/>
            <a:t>Upper limit: 216.49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1</cdr:x>
      <cdr:y>0.24907</cdr:y>
    </cdr:from>
    <cdr:to>
      <cdr:x>1</cdr:x>
      <cdr:y>0.47963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="" xmlns:a16="http://schemas.microsoft.com/office/drawing/2014/main" id="{226FFAA8-E81B-4DCA-8ABA-816EC831E019}"/>
            </a:ext>
          </a:extLst>
        </cdr:cNvPr>
        <cdr:cNvCxnSpPr/>
      </cdr:nvCxnSpPr>
      <cdr:spPr>
        <a:xfrm xmlns:a="http://schemas.openxmlformats.org/drawingml/2006/main" flipV="1">
          <a:off x="9956800" y="683260"/>
          <a:ext cx="0" cy="63246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1</cdr:x>
      <cdr:y>0.24907</cdr:y>
    </cdr:from>
    <cdr:to>
      <cdr:x>1</cdr:x>
      <cdr:y>0.47963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="" xmlns:a16="http://schemas.microsoft.com/office/drawing/2014/main" id="{226FFAA8-E81B-4DCA-8ABA-816EC831E019}"/>
            </a:ext>
          </a:extLst>
        </cdr:cNvPr>
        <cdr:cNvCxnSpPr/>
      </cdr:nvCxnSpPr>
      <cdr:spPr>
        <a:xfrm xmlns:a="http://schemas.openxmlformats.org/drawingml/2006/main" flipV="1">
          <a:off x="9956800" y="683260"/>
          <a:ext cx="0" cy="63246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0.10111</cdr:x>
      <cdr:y>0.23796</cdr:y>
    </cdr:from>
    <cdr:to>
      <cdr:x>0.83611</cdr:x>
      <cdr:y>0.24074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="" xmlns:a16="http://schemas.microsoft.com/office/drawing/2014/main" id="{86F3393D-52AF-4C62-83D6-A1A0BFC88D42}"/>
            </a:ext>
          </a:extLst>
        </cdr:cNvPr>
        <cdr:cNvCxnSpPr/>
      </cdr:nvCxnSpPr>
      <cdr:spPr>
        <a:xfrm xmlns:a="http://schemas.openxmlformats.org/drawingml/2006/main" flipV="1">
          <a:off x="462280" y="65278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0.10111</cdr:x>
      <cdr:y>0.17685</cdr:y>
    </cdr:from>
    <cdr:to>
      <cdr:x>0.83611</cdr:x>
      <cdr:y>0.17963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="" xmlns:a16="http://schemas.microsoft.com/office/drawing/2014/main" id="{6FA3C517-ED3F-418D-889E-EBDCC24AC4D6}"/>
            </a:ext>
          </a:extLst>
        </cdr:cNvPr>
        <cdr:cNvCxnSpPr/>
      </cdr:nvCxnSpPr>
      <cdr:spPr>
        <a:xfrm xmlns:a="http://schemas.openxmlformats.org/drawingml/2006/main" flipV="1">
          <a:off x="462280" y="48514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0.10278</cdr:x>
      <cdr:y>0.32963</cdr:y>
    </cdr:from>
    <cdr:to>
      <cdr:x>0.83778</cdr:x>
      <cdr:y>0.33241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="" xmlns:a16="http://schemas.microsoft.com/office/drawing/2014/main" id="{9D784EF4-1711-48F5-958F-F717F4B0AA10}"/>
            </a:ext>
          </a:extLst>
        </cdr:cNvPr>
        <cdr:cNvCxnSpPr/>
      </cdr:nvCxnSpPr>
      <cdr:spPr>
        <a:xfrm xmlns:a="http://schemas.openxmlformats.org/drawingml/2006/main" flipV="1">
          <a:off x="469900" y="90424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</cdr:x>
      <cdr:y>0.23611</cdr:y>
    </cdr:from>
    <cdr:to>
      <cdr:x>0.49111</cdr:x>
      <cdr:y>0.43796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="" xmlns:a16="http://schemas.microsoft.com/office/drawing/2014/main" id="{226FFAA8-E81B-4DCA-8ABA-816EC831E019}"/>
            </a:ext>
          </a:extLst>
        </cdr:cNvPr>
        <cdr:cNvCxnSpPr/>
      </cdr:nvCxnSpPr>
      <cdr:spPr>
        <a:xfrm xmlns:a="http://schemas.openxmlformats.org/drawingml/2006/main" flipH="1" flipV="1">
          <a:off x="2240280" y="647700"/>
          <a:ext cx="5080" cy="55372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0.255</cdr:x>
      <cdr:y>0.33889</cdr:y>
    </cdr:from>
    <cdr:to>
      <cdr:x>0.25611</cdr:x>
      <cdr:y>0.59074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="" xmlns:a16="http://schemas.microsoft.com/office/drawing/2014/main" id="{9C99386A-FB6F-4EDF-A480-5EFC3BF8C714}"/>
            </a:ext>
          </a:extLst>
        </cdr:cNvPr>
        <cdr:cNvCxnSpPr/>
      </cdr:nvCxnSpPr>
      <cdr:spPr>
        <a:xfrm xmlns:a="http://schemas.openxmlformats.org/drawingml/2006/main" flipH="1" flipV="1">
          <a:off x="1165860" y="929640"/>
          <a:ext cx="5080" cy="69088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0.78667</cdr:x>
      <cdr:y>0.16944</cdr:y>
    </cdr:from>
    <cdr:to>
      <cdr:x>0.78778</cdr:x>
      <cdr:y>0.74352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="" xmlns:a16="http://schemas.microsoft.com/office/drawing/2014/main" id="{0E6C47E7-0D9F-4914-81D6-87335A700CD8}"/>
            </a:ext>
          </a:extLst>
        </cdr:cNvPr>
        <cdr:cNvCxnSpPr/>
      </cdr:nvCxnSpPr>
      <cdr:spPr>
        <a:xfrm xmlns:a="http://schemas.openxmlformats.org/drawingml/2006/main" flipH="1" flipV="1">
          <a:off x="3596640" y="464820"/>
          <a:ext cx="5080" cy="157480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0.10778</cdr:x>
      <cdr:y>0.5963</cdr:y>
    </cdr:from>
    <cdr:to>
      <cdr:x>0.515</cdr:x>
      <cdr:y>0.74167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50A4C16-41EF-4E26-AB60-4068138378CB}"/>
            </a:ext>
          </a:extLst>
        </cdr:cNvPr>
        <cdr:cNvSpPr txBox="1"/>
      </cdr:nvSpPr>
      <cdr:spPr>
        <a:xfrm xmlns:a="http://schemas.openxmlformats.org/drawingml/2006/main">
          <a:off x="492760" y="163576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12.49</a:t>
          </a:r>
          <a:br>
            <a:rPr lang="en-US" sz="1100"/>
          </a:br>
          <a:r>
            <a:rPr lang="en-US" sz="1100"/>
            <a:t>Lower limit: 192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0.40944</cdr:x>
      <cdr:y>0.43519</cdr:y>
    </cdr:from>
    <cdr:to>
      <cdr:x>0.63611</cdr:x>
      <cdr:y>0.54074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3F5539C-3552-419D-B18F-F11104843BD3}"/>
            </a:ext>
          </a:extLst>
        </cdr:cNvPr>
        <cdr:cNvSpPr txBox="1"/>
      </cdr:nvSpPr>
      <cdr:spPr>
        <a:xfrm xmlns:a="http://schemas.openxmlformats.org/drawingml/2006/main">
          <a:off x="1871980" y="1193800"/>
          <a:ext cx="1036320" cy="28956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Average = 204</a:t>
          </a:r>
        </a:p>
      </cdr:txBody>
    </cdr:sp>
  </cdr:relSizeAnchor>
  <cdr:relSizeAnchor xmlns:cdr="http://schemas.openxmlformats.org/drawingml/2006/chartDrawing">
    <cdr:from>
      <cdr:x>0.57944</cdr:x>
      <cdr:y>0.72407</cdr:y>
    </cdr:from>
    <cdr:to>
      <cdr:x>0.98667</cdr:x>
      <cdr:y>0.86944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80B017E-1E93-4221-A895-78F19FD2ACD6}"/>
            </a:ext>
          </a:extLst>
        </cdr:cNvPr>
        <cdr:cNvSpPr txBox="1"/>
      </cdr:nvSpPr>
      <cdr:spPr>
        <a:xfrm xmlns:a="http://schemas.openxmlformats.org/drawingml/2006/main">
          <a:off x="2649220" y="198628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12.49</a:t>
          </a:r>
          <a:br>
            <a:rPr lang="en-US" sz="1100"/>
          </a:br>
          <a:r>
            <a:rPr lang="en-US" sz="1100"/>
            <a:t>Upper limit: 216.49</a:t>
          </a:r>
          <a:br>
            <a:rPr lang="en-US" sz="1100"/>
          </a:br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0.08444</cdr:x>
      <cdr:y>0.25093</cdr:y>
    </cdr:from>
    <cdr:to>
      <cdr:x>0.81944</cdr:x>
      <cdr:y>0.2537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="" xmlns:a16="http://schemas.microsoft.com/office/drawing/2014/main" id="{D9F9D7FE-CAB0-4A51-97CC-9DFC232C26A5}"/>
            </a:ext>
          </a:extLst>
        </cdr:cNvPr>
        <cdr:cNvCxnSpPr/>
      </cdr:nvCxnSpPr>
      <cdr:spPr>
        <a:xfrm xmlns:a="http://schemas.openxmlformats.org/drawingml/2006/main" flipV="1">
          <a:off x="386080" y="68834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0.08444</cdr:x>
      <cdr:y>0.18981</cdr:y>
    </cdr:from>
    <cdr:to>
      <cdr:x>0.81944</cdr:x>
      <cdr:y>0.19259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="" xmlns:a16="http://schemas.microsoft.com/office/drawing/2014/main" id="{AB4103E6-F3A9-4C1B-A133-469380FBA48B}"/>
            </a:ext>
          </a:extLst>
        </cdr:cNvPr>
        <cdr:cNvCxnSpPr/>
      </cdr:nvCxnSpPr>
      <cdr:spPr>
        <a:xfrm xmlns:a="http://schemas.openxmlformats.org/drawingml/2006/main" flipV="1">
          <a:off x="386080" y="52070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0.08611</cdr:x>
      <cdr:y>0.34259</cdr:y>
    </cdr:from>
    <cdr:to>
      <cdr:x>0.82111</cdr:x>
      <cdr:y>0.34537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="" xmlns:a16="http://schemas.microsoft.com/office/drawing/2014/main" id="{99F13DEA-EAA2-4BA8-BF1F-69B8E7B4E4F6}"/>
            </a:ext>
          </a:extLst>
        </cdr:cNvPr>
        <cdr:cNvCxnSpPr/>
      </cdr:nvCxnSpPr>
      <cdr:spPr>
        <a:xfrm xmlns:a="http://schemas.openxmlformats.org/drawingml/2006/main" flipV="1">
          <a:off x="393700" y="939800"/>
          <a:ext cx="3360420" cy="762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0.47333</cdr:x>
      <cdr:y>0.24907</cdr:y>
    </cdr:from>
    <cdr:to>
      <cdr:x>0.47444</cdr:x>
      <cdr:y>0.45093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="" xmlns:a16="http://schemas.microsoft.com/office/drawing/2014/main" id="{14F8A8FC-8C24-48C0-8302-51311E2BE53D}"/>
            </a:ext>
          </a:extLst>
        </cdr:cNvPr>
        <cdr:cNvCxnSpPr/>
      </cdr:nvCxnSpPr>
      <cdr:spPr>
        <a:xfrm xmlns:a="http://schemas.openxmlformats.org/drawingml/2006/main" flipH="1" flipV="1">
          <a:off x="2164080" y="683260"/>
          <a:ext cx="5080" cy="55372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0.23833</cdr:x>
      <cdr:y>0.35185</cdr:y>
    </cdr:from>
    <cdr:to>
      <cdr:x>0.23944</cdr:x>
      <cdr:y>0.6037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="" xmlns:a16="http://schemas.microsoft.com/office/drawing/2014/main" id="{4CEB5A07-2FCB-4B29-A51D-F856456AF37C}"/>
            </a:ext>
          </a:extLst>
        </cdr:cNvPr>
        <cdr:cNvCxnSpPr/>
      </cdr:nvCxnSpPr>
      <cdr:spPr>
        <a:xfrm xmlns:a="http://schemas.openxmlformats.org/drawingml/2006/main" flipH="1" flipV="1">
          <a:off x="1089660" y="965200"/>
          <a:ext cx="5080" cy="69088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</cdr:x>
      <cdr:y>0.18241</cdr:y>
    </cdr:from>
    <cdr:to>
      <cdr:x>0.77111</cdr:x>
      <cdr:y>0.75648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="" xmlns:a16="http://schemas.microsoft.com/office/drawing/2014/main" id="{BA205AB3-4C22-4131-8270-2B13520D2C4E}"/>
            </a:ext>
          </a:extLst>
        </cdr:cNvPr>
        <cdr:cNvCxnSpPr/>
      </cdr:nvCxnSpPr>
      <cdr:spPr>
        <a:xfrm xmlns:a="http://schemas.openxmlformats.org/drawingml/2006/main" flipH="1" flipV="1">
          <a:off x="3520440" y="500380"/>
          <a:ext cx="5080" cy="1574800"/>
        </a:xfrm>
        <a:prstGeom xmlns:a="http://schemas.openxmlformats.org/drawingml/2006/main" prst="straightConnector1">
          <a:avLst/>
        </a:prstGeom>
        <a:ln xmlns:a="http://schemas.openxmlformats.org/drawingml/2006/main" w="38100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0.38111</cdr:x>
      <cdr:y>0.45463</cdr:y>
    </cdr:from>
    <cdr:to>
      <cdr:x>0.60778</cdr:x>
      <cdr:y>0.56019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41C920-2585-4724-961D-F1468A4A9000}"/>
            </a:ext>
          </a:extLst>
        </cdr:cNvPr>
        <cdr:cNvSpPr txBox="1"/>
      </cdr:nvSpPr>
      <cdr:spPr>
        <a:xfrm xmlns:a="http://schemas.openxmlformats.org/drawingml/2006/main">
          <a:off x="1742440" y="1247140"/>
          <a:ext cx="1036320" cy="28956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Average = 74</a:t>
          </a:r>
        </a:p>
      </cdr:txBody>
    </cdr:sp>
  </cdr:relSizeAnchor>
  <cdr:relSizeAnchor xmlns:cdr="http://schemas.openxmlformats.org/drawingml/2006/chartDrawing">
    <cdr:from>
      <cdr:x>0.09611</cdr:x>
      <cdr:y>0.60463</cdr:y>
    </cdr:from>
    <cdr:to>
      <cdr:x>0.50333</cdr:x>
      <cdr:y>0.75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3DDC7C6-3F24-4A92-95D2-0DD2A04F5B83}"/>
            </a:ext>
          </a:extLst>
        </cdr:cNvPr>
        <cdr:cNvSpPr txBox="1"/>
      </cdr:nvSpPr>
      <cdr:spPr>
        <a:xfrm xmlns:a="http://schemas.openxmlformats.org/drawingml/2006/main">
          <a:off x="439420" y="165862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12.05</a:t>
          </a:r>
          <a:br>
            <a:rPr lang="en-US" sz="1100"/>
          </a:br>
          <a:r>
            <a:rPr lang="en-US" sz="1100"/>
            <a:t>Lower limit: 62</a:t>
          </a:r>
          <a:br>
            <a:rPr lang="en-US" sz="1100"/>
          </a:br>
          <a:endParaRPr lang="en-US" sz="1100"/>
        </a:p>
      </cdr:txBody>
    </cdr:sp>
  </cdr:relSizeAnchor>
  <cdr:relSizeAnchor xmlns:cdr="http://schemas.openxmlformats.org/drawingml/2006/chartDrawing">
    <cdr:from>
      <cdr:x>0.58611</cdr:x>
      <cdr:y>0.75741</cdr:y>
    </cdr:from>
    <cdr:to>
      <cdr:x>0.99333</cdr:x>
      <cdr:y>0.90278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3DDC7C6-3F24-4A92-95D2-0DD2A04F5B83}"/>
            </a:ext>
          </a:extLst>
        </cdr:cNvPr>
        <cdr:cNvSpPr txBox="1"/>
      </cdr:nvSpPr>
      <cdr:spPr>
        <a:xfrm xmlns:a="http://schemas.openxmlformats.org/drawingml/2006/main">
          <a:off x="2679700" y="2077720"/>
          <a:ext cx="1861820" cy="398780"/>
        </a:xfrm>
        <a:prstGeom xmlns:a="http://schemas.openxmlformats.org/drawingml/2006/main" prst="rect">
          <a:avLst/>
        </a:prstGeom>
        <a:ln xmlns:a="http://schemas.openxmlformats.org/drawingml/2006/main" w="38100">
          <a:solidFill>
            <a:srgbClr val="0070C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Standard Deviation= 12.05</a:t>
          </a:r>
          <a:br>
            <a:rPr lang="en-US" sz="1100"/>
          </a:br>
          <a:r>
            <a:rPr lang="en-US" sz="1100"/>
            <a:t>Upper limit: 86</a:t>
          </a:r>
          <a:br>
            <a:rPr lang="en-US" sz="1100"/>
          </a:br>
          <a:endParaRPr lang="en-US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144780</xdr:rowOff>
    </xdr:from>
    <xdr:to>
      <xdr:col>12</xdr:col>
      <xdr:colOff>60960</xdr:colOff>
      <xdr:row>38</xdr:row>
      <xdr:rowOff>45720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518160</xdr:colOff>
      <xdr:row>39</xdr:row>
      <xdr:rowOff>83820</xdr:rowOff>
    </xdr:from>
    <xdr:to>
      <xdr:col>11</xdr:col>
      <xdr:colOff>137160</xdr:colOff>
      <xdr:row>41</xdr:row>
      <xdr:rowOff>7620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82E2DB30-5E6D-43AB-AA1E-4839E6868EB1}"/>
            </a:ext>
          </a:extLst>
        </xdr:cNvPr>
        <xdr:cNvSpPr txBox="1"/>
      </xdr:nvSpPr>
      <xdr:spPr>
        <a:xfrm>
          <a:off x="7734300" y="3741420"/>
          <a:ext cx="1203960" cy="289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Online Marketing</a:t>
          </a:r>
        </a:p>
      </xdr:txBody>
    </xdr:sp>
    <xdr:clientData/>
  </xdr:twoCellAnchor>
  <xdr:twoCellAnchor>
    <xdr:from>
      <xdr:col>10</xdr:col>
      <xdr:colOff>30480</xdr:colOff>
      <xdr:row>34</xdr:row>
      <xdr:rowOff>99060</xdr:rowOff>
    </xdr:from>
    <xdr:to>
      <xdr:col>11</xdr:col>
      <xdr:colOff>769620</xdr:colOff>
      <xdr:row>35</xdr:row>
      <xdr:rowOff>175260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87843817-84E0-4D2B-9430-5249E4E46B6E}"/>
            </a:ext>
          </a:extLst>
        </xdr:cNvPr>
        <xdr:cNvSpPr txBox="1"/>
      </xdr:nvSpPr>
      <xdr:spPr>
        <a:xfrm>
          <a:off x="8039100" y="2659380"/>
          <a:ext cx="1531620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Online marketing</a:t>
          </a:r>
        </a:p>
      </xdr:txBody>
    </xdr:sp>
    <xdr:clientData/>
  </xdr:twoCellAnchor>
  <xdr:twoCellAnchor>
    <xdr:from>
      <xdr:col>9</xdr:col>
      <xdr:colOff>45720</xdr:colOff>
      <xdr:row>21</xdr:row>
      <xdr:rowOff>121920</xdr:rowOff>
    </xdr:from>
    <xdr:to>
      <xdr:col>9</xdr:col>
      <xdr:colOff>83820</xdr:colOff>
      <xdr:row>36</xdr:row>
      <xdr:rowOff>91440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3E259C85-1808-4E44-8EB7-6F1FD541406A}"/>
            </a:ext>
          </a:extLst>
        </xdr:cNvPr>
        <xdr:cNvCxnSpPr/>
      </xdr:nvCxnSpPr>
      <xdr:spPr>
        <a:xfrm flipH="1" flipV="1">
          <a:off x="8282940" y="1219200"/>
          <a:ext cx="38100" cy="1798320"/>
        </a:xfrm>
        <a:prstGeom prst="line">
          <a:avLst/>
        </a:prstGeom>
        <a:ln w="349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655320</xdr:colOff>
      <xdr:row>21</xdr:row>
      <xdr:rowOff>175260</xdr:rowOff>
    </xdr:from>
    <xdr:to>
      <xdr:col>9</xdr:col>
      <xdr:colOff>38100</xdr:colOff>
      <xdr:row>22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="" xmlns:a16="http://schemas.microsoft.com/office/drawing/2014/main" id="{64AD9834-3604-414D-81FB-C66C13AB1D85}"/>
            </a:ext>
          </a:extLst>
        </xdr:cNvPr>
        <xdr:cNvCxnSpPr/>
      </xdr:nvCxnSpPr>
      <xdr:spPr>
        <a:xfrm flipH="1">
          <a:off x="6515100" y="1272540"/>
          <a:ext cx="1760220" cy="762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655320</xdr:colOff>
      <xdr:row>28</xdr:row>
      <xdr:rowOff>30480</xdr:rowOff>
    </xdr:from>
    <xdr:to>
      <xdr:col>10</xdr:col>
      <xdr:colOff>670560</xdr:colOff>
      <xdr:row>28</xdr:row>
      <xdr:rowOff>45720</xdr:rowOff>
    </xdr:to>
    <xdr:cxnSp macro="">
      <xdr:nvCxnSpPr>
        <xdr:cNvPr id="10" name="Straight Connector 9">
          <a:extLst>
            <a:ext uri="{FF2B5EF4-FFF2-40B4-BE49-F238E27FC236}">
              <a16:creationId xmlns="" xmlns:a16="http://schemas.microsoft.com/office/drawing/2014/main" id="{5A34B187-A121-4967-90C5-16C4E000F3C9}"/>
            </a:ext>
          </a:extLst>
        </xdr:cNvPr>
        <xdr:cNvCxnSpPr/>
      </xdr:nvCxnSpPr>
      <xdr:spPr>
        <a:xfrm flipH="1">
          <a:off x="6515100" y="1493520"/>
          <a:ext cx="3185160" cy="1524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624840</xdr:colOff>
      <xdr:row>13</xdr:row>
      <xdr:rowOff>15240</xdr:rowOff>
    </xdr:from>
    <xdr:to>
      <xdr:col>10</xdr:col>
      <xdr:colOff>640080</xdr:colOff>
      <xdr:row>13</xdr:row>
      <xdr:rowOff>30480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F58E6137-6041-4245-AD88-061C8F57B6C7}"/>
            </a:ext>
          </a:extLst>
        </xdr:cNvPr>
        <xdr:cNvCxnSpPr/>
      </xdr:nvCxnSpPr>
      <xdr:spPr>
        <a:xfrm flipH="1">
          <a:off x="6484620" y="746760"/>
          <a:ext cx="3185160" cy="1524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281940</xdr:colOff>
      <xdr:row>30</xdr:row>
      <xdr:rowOff>22860</xdr:rowOff>
    </xdr:from>
    <xdr:to>
      <xdr:col>10</xdr:col>
      <xdr:colOff>335280</xdr:colOff>
      <xdr:row>31</xdr:row>
      <xdr:rowOff>99060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723C12F0-466F-4579-A31C-70862FF0708E}"/>
            </a:ext>
          </a:extLst>
        </xdr:cNvPr>
        <xdr:cNvSpPr txBox="1"/>
      </xdr:nvSpPr>
      <xdr:spPr>
        <a:xfrm>
          <a:off x="8519160" y="1851660"/>
          <a:ext cx="845820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Lower limit</a:t>
          </a:r>
        </a:p>
      </xdr:txBody>
    </xdr:sp>
    <xdr:clientData/>
  </xdr:twoCellAnchor>
  <xdr:twoCellAnchor>
    <xdr:from>
      <xdr:col>9</xdr:col>
      <xdr:colOff>525780</xdr:colOff>
      <xdr:row>28</xdr:row>
      <xdr:rowOff>38100</xdr:rowOff>
    </xdr:from>
    <xdr:to>
      <xdr:col>9</xdr:col>
      <xdr:colOff>704850</xdr:colOff>
      <xdr:row>30</xdr:row>
      <xdr:rowOff>22860</xdr:rowOff>
    </xdr:to>
    <xdr:cxnSp macro="">
      <xdr:nvCxnSpPr>
        <xdr:cNvPr id="15" name="Straight Arrow Connector 14">
          <a:extLst>
            <a:ext uri="{FF2B5EF4-FFF2-40B4-BE49-F238E27FC236}">
              <a16:creationId xmlns="" xmlns:a16="http://schemas.microsoft.com/office/drawing/2014/main" id="{9DC5276C-41D9-437C-B820-3644262E6A7D}"/>
            </a:ext>
          </a:extLst>
        </xdr:cNvPr>
        <xdr:cNvCxnSpPr>
          <a:stCxn id="13" idx="0"/>
        </xdr:cNvCxnSpPr>
      </xdr:nvCxnSpPr>
      <xdr:spPr>
        <a:xfrm flipH="1" flipV="1">
          <a:off x="8763000" y="1501140"/>
          <a:ext cx="179070" cy="3505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129540</xdr:colOff>
      <xdr:row>6</xdr:row>
      <xdr:rowOff>144780</xdr:rowOff>
    </xdr:from>
    <xdr:to>
      <xdr:col>10</xdr:col>
      <xdr:colOff>384810</xdr:colOff>
      <xdr:row>12</xdr:row>
      <xdr:rowOff>0</xdr:rowOff>
    </xdr:to>
    <xdr:cxnSp macro="">
      <xdr:nvCxnSpPr>
        <xdr:cNvPr id="16" name="Straight Arrow Connector 15">
          <a:extLst>
            <a:ext uri="{FF2B5EF4-FFF2-40B4-BE49-F238E27FC236}">
              <a16:creationId xmlns="" xmlns:a16="http://schemas.microsoft.com/office/drawing/2014/main" id="{34547EB5-E0F4-49F5-B3B1-40C278DA6605}"/>
            </a:ext>
          </a:extLst>
        </xdr:cNvPr>
        <xdr:cNvCxnSpPr/>
      </xdr:nvCxnSpPr>
      <xdr:spPr>
        <a:xfrm flipH="1">
          <a:off x="9159240" y="510540"/>
          <a:ext cx="255270" cy="2209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320040</xdr:colOff>
      <xdr:row>13</xdr:row>
      <xdr:rowOff>152400</xdr:rowOff>
    </xdr:from>
    <xdr:to>
      <xdr:col>8</xdr:col>
      <xdr:colOff>220980</xdr:colOff>
      <xdr:row>21</xdr:row>
      <xdr:rowOff>45720</xdr:rowOff>
    </xdr:to>
    <xdr:sp macro="" textlink="">
      <xdr:nvSpPr>
        <xdr:cNvPr id="19" name="TextBox 18">
          <a:extLst>
            <a:ext uri="{FF2B5EF4-FFF2-40B4-BE49-F238E27FC236}">
              <a16:creationId xmlns="" xmlns:a16="http://schemas.microsoft.com/office/drawing/2014/main" id="{24B28FEB-81CB-4742-8264-53314273B641}"/>
            </a:ext>
          </a:extLst>
        </xdr:cNvPr>
        <xdr:cNvSpPr txBox="1"/>
      </xdr:nvSpPr>
      <xdr:spPr>
        <a:xfrm>
          <a:off x="6972300" y="883920"/>
          <a:ext cx="693420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</a:t>
          </a:r>
        </a:p>
      </xdr:txBody>
    </xdr:sp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0.72278</cdr:x>
      <cdr:y>0.01181</cdr:y>
    </cdr:from>
    <cdr:to>
      <cdr:x>0.90778</cdr:x>
      <cdr:y>0.09789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="" xmlns:a16="http://schemas.microsoft.com/office/drawing/2014/main" id="{723C12F0-466F-4579-A31C-70862FF0708E}"/>
            </a:ext>
          </a:extLst>
        </cdr:cNvPr>
        <cdr:cNvSpPr txBox="1"/>
      </cdr:nvSpPr>
      <cdr:spPr>
        <a:xfrm xmlns:a="http://schemas.openxmlformats.org/drawingml/2006/main">
          <a:off x="3304540" y="35560"/>
          <a:ext cx="845820" cy="25908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Upper limit</a:t>
          </a:r>
        </a:p>
      </cdr:txBody>
    </cdr:sp>
  </cdr:relSizeAnchor>
  <cdr:relSizeAnchor xmlns:cdr="http://schemas.openxmlformats.org/drawingml/2006/chartDrawing">
    <cdr:from>
      <cdr:x>0.33861</cdr:x>
      <cdr:y>0.2346</cdr:y>
    </cdr:from>
    <cdr:to>
      <cdr:x>0.47333</cdr:x>
      <cdr:y>0.32152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="" xmlns:a16="http://schemas.microsoft.com/office/drawing/2014/main" id="{E82E36B6-8D8E-41FB-AF86-8772A6AD46A5}"/>
            </a:ext>
          </a:extLst>
        </cdr:cNvPr>
        <cdr:cNvCxnSpPr/>
      </cdr:nvCxnSpPr>
      <cdr:spPr>
        <a:xfrm xmlns:a="http://schemas.openxmlformats.org/drawingml/2006/main">
          <a:off x="1548130" y="706120"/>
          <a:ext cx="615950" cy="26162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rnando" refreshedDate="44468.254102777777" createdVersion="3" refreshedVersion="3" minRefreshableVersion="3" recordCount="44">
  <cacheSource type="worksheet">
    <worksheetSource ref="A1:C1048576" sheet="Sheet2"/>
  </cacheSource>
  <cacheFields count="3">
    <cacheField name="id" numFmtId="0">
      <sharedItems containsBlank="1" containsMixedTypes="1" containsNumber="1" containsInteger="1" minValue="1" maxValue="42" count="4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s v=" "/>
        <m/>
      </sharedItems>
    </cacheField>
    <cacheField name="OneVarGroups" numFmtId="0">
      <sharedItems containsString="0" containsBlank="1" containsNumber="1" containsInteger="1" minValue="1" maxValue="1020" count="40">
        <n v="107"/>
        <n v="109"/>
        <n v="106"/>
        <n v="111"/>
        <n v="112"/>
        <n v="108"/>
        <n v="144"/>
        <n v="120"/>
        <n v="130"/>
        <n v="56"/>
        <n v="58"/>
        <n v="50"/>
        <n v="52"/>
        <n v="59"/>
        <n v="63"/>
        <n v="64"/>
        <n v="65"/>
        <n v="66"/>
        <n v="400"/>
        <n v="61"/>
        <n v="800"/>
        <n v="855"/>
        <n v="900"/>
        <n v="920"/>
        <n v="930"/>
        <n v="940"/>
        <n v="1000"/>
        <n v="980"/>
        <n v="890"/>
        <n v="101"/>
        <n v="105"/>
        <n v="235"/>
        <n v="178"/>
        <n v="1"/>
        <n v="2"/>
        <n v="345"/>
        <n v="200"/>
        <n v="546"/>
        <n v="1020"/>
        <m/>
      </sharedItems>
    </cacheField>
    <cacheField name="Cluster" numFmtId="0">
      <sharedItems containsString="0" containsBlank="1" containsNumber="1" containsInteger="1" minValue="1" maxValue="3" count="4">
        <n v="3"/>
        <n v="2"/>
        <n v="1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fernando" refreshedDate="44468.287706828705" createdVersion="3" refreshedVersion="3" minRefreshableVersion="3" recordCount="35">
  <cacheSource type="worksheet">
    <worksheetSource ref="A1:D1048576" sheet="Clusters2Variable"/>
  </cacheSource>
  <cacheFields count="4">
    <cacheField name="id" numFmtId="0">
      <sharedItems containsString="0" containsBlank="1" containsNumber="1" containsInteger="1" minValue="1" maxValue="34"/>
    </cacheField>
    <cacheField name="x" numFmtId="0">
      <sharedItems containsString="0" containsBlank="1" containsNumber="1" containsInteger="1" minValue="3" maxValue="354" count="35">
        <n v="3"/>
        <n v="8"/>
        <n v="11"/>
        <n v="16"/>
        <n v="18"/>
        <n v="14"/>
        <n v="12"/>
        <n v="20"/>
        <n v="22"/>
        <n v="9"/>
        <n v="156"/>
        <n v="162"/>
        <n v="170"/>
        <n v="167"/>
        <n v="189"/>
        <n v="200"/>
        <n v="203"/>
        <n v="176"/>
        <n v="177"/>
        <n v="183"/>
        <n v="310"/>
        <n v="330"/>
        <n v="345"/>
        <n v="316"/>
        <n v="311"/>
        <n v="354"/>
        <n v="349"/>
        <n v="341"/>
        <n v="339"/>
        <n v="335"/>
        <n v="187"/>
        <n v="222"/>
        <n v="224"/>
        <n v="225"/>
        <m/>
      </sharedItems>
    </cacheField>
    <cacheField name="y" numFmtId="0">
      <sharedItems containsString="0" containsBlank="1" containsNumber="1" containsInteger="1" minValue="5" maxValue="710"/>
    </cacheField>
    <cacheField name="cluster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fernando" refreshedDate="44468.296071296296" createdVersion="3" refreshedVersion="3" minRefreshableVersion="3" recordCount="35">
  <cacheSource type="worksheet">
    <worksheetSource ref="A1:E1048576" sheet="Clusters3Variable "/>
  </cacheSource>
  <cacheFields count="5">
    <cacheField name="id" numFmtId="0">
      <sharedItems containsString="0" containsBlank="1" containsNumber="1" containsInteger="1" minValue="1" maxValue="34" count="3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m/>
      </sharedItems>
    </cacheField>
    <cacheField name="x" numFmtId="0">
      <sharedItems containsString="0" containsBlank="1" containsNumber="1" containsInteger="1" minValue="3" maxValue="354"/>
    </cacheField>
    <cacheField name="y" numFmtId="0">
      <sharedItems containsString="0" containsBlank="1" containsNumber="1" containsInteger="1" minValue="5" maxValue="710"/>
    </cacheField>
    <cacheField name="z" numFmtId="0">
      <sharedItems containsString="0" containsBlank="1" containsNumber="1" containsInteger="1" minValue="12" maxValue="710"/>
    </cacheField>
    <cacheField name="Cluster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fernando" refreshedDate="44468.30177071759" createdVersion="3" refreshedVersion="3" minRefreshableVersion="3" recordCount="35">
  <cacheSource type="worksheet">
    <worksheetSource ref="A1:F1048576" sheet="Clusters4Variable"/>
  </cacheSource>
  <cacheFields count="6">
    <cacheField name="id" numFmtId="0">
      <sharedItems containsString="0" containsBlank="1" containsNumber="1" containsInteger="1" minValue="1" maxValue="34" count="3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m/>
      </sharedItems>
    </cacheField>
    <cacheField name="x" numFmtId="0">
      <sharedItems containsString="0" containsBlank="1" containsNumber="1" containsInteger="1" minValue="3" maxValue="354"/>
    </cacheField>
    <cacheField name="y" numFmtId="0">
      <sharedItems containsString="0" containsBlank="1" containsNumber="1" containsInteger="1" minValue="5" maxValue="710"/>
    </cacheField>
    <cacheField name="z" numFmtId="0">
      <sharedItems containsString="0" containsBlank="1" containsNumber="1" containsInteger="1" minValue="12" maxValue="710"/>
    </cacheField>
    <cacheField name="w" numFmtId="0">
      <sharedItems containsString="0" containsBlank="1" containsNumber="1" containsInteger="1" minValue="11" maxValue="600"/>
    </cacheField>
    <cacheField name="Cluster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x v="0"/>
  </r>
  <r>
    <x v="1"/>
    <x v="1"/>
    <x v="0"/>
  </r>
  <r>
    <x v="2"/>
    <x v="2"/>
    <x v="0"/>
  </r>
  <r>
    <x v="3"/>
    <x v="3"/>
    <x v="0"/>
  </r>
  <r>
    <x v="4"/>
    <x v="4"/>
    <x v="0"/>
  </r>
  <r>
    <x v="5"/>
    <x v="5"/>
    <x v="0"/>
  </r>
  <r>
    <x v="6"/>
    <x v="6"/>
    <x v="0"/>
  </r>
  <r>
    <x v="7"/>
    <x v="0"/>
    <x v="0"/>
  </r>
  <r>
    <x v="8"/>
    <x v="5"/>
    <x v="0"/>
  </r>
  <r>
    <x v="9"/>
    <x v="7"/>
    <x v="0"/>
  </r>
  <r>
    <x v="10"/>
    <x v="8"/>
    <x v="0"/>
  </r>
  <r>
    <x v="11"/>
    <x v="9"/>
    <x v="0"/>
  </r>
  <r>
    <x v="12"/>
    <x v="10"/>
    <x v="0"/>
  </r>
  <r>
    <x v="13"/>
    <x v="11"/>
    <x v="0"/>
  </r>
  <r>
    <x v="14"/>
    <x v="12"/>
    <x v="0"/>
  </r>
  <r>
    <x v="15"/>
    <x v="13"/>
    <x v="0"/>
  </r>
  <r>
    <x v="16"/>
    <x v="14"/>
    <x v="0"/>
  </r>
  <r>
    <x v="17"/>
    <x v="15"/>
    <x v="0"/>
  </r>
  <r>
    <x v="18"/>
    <x v="16"/>
    <x v="0"/>
  </r>
  <r>
    <x v="19"/>
    <x v="17"/>
    <x v="0"/>
  </r>
  <r>
    <x v="20"/>
    <x v="18"/>
    <x v="1"/>
  </r>
  <r>
    <x v="21"/>
    <x v="19"/>
    <x v="0"/>
  </r>
  <r>
    <x v="22"/>
    <x v="20"/>
    <x v="2"/>
  </r>
  <r>
    <x v="23"/>
    <x v="21"/>
    <x v="2"/>
  </r>
  <r>
    <x v="24"/>
    <x v="22"/>
    <x v="2"/>
  </r>
  <r>
    <x v="25"/>
    <x v="23"/>
    <x v="2"/>
  </r>
  <r>
    <x v="26"/>
    <x v="24"/>
    <x v="2"/>
  </r>
  <r>
    <x v="27"/>
    <x v="25"/>
    <x v="2"/>
  </r>
  <r>
    <x v="28"/>
    <x v="26"/>
    <x v="2"/>
  </r>
  <r>
    <x v="29"/>
    <x v="27"/>
    <x v="2"/>
  </r>
  <r>
    <x v="30"/>
    <x v="28"/>
    <x v="2"/>
  </r>
  <r>
    <x v="31"/>
    <x v="29"/>
    <x v="0"/>
  </r>
  <r>
    <x v="32"/>
    <x v="30"/>
    <x v="0"/>
  </r>
  <r>
    <x v="33"/>
    <x v="31"/>
    <x v="0"/>
  </r>
  <r>
    <x v="34"/>
    <x v="32"/>
    <x v="0"/>
  </r>
  <r>
    <x v="35"/>
    <x v="33"/>
    <x v="0"/>
  </r>
  <r>
    <x v="36"/>
    <x v="34"/>
    <x v="0"/>
  </r>
  <r>
    <x v="37"/>
    <x v="35"/>
    <x v="1"/>
  </r>
  <r>
    <x v="38"/>
    <x v="36"/>
    <x v="0"/>
  </r>
  <r>
    <x v="39"/>
    <x v="37"/>
    <x v="1"/>
  </r>
  <r>
    <x v="40"/>
    <x v="26"/>
    <x v="2"/>
  </r>
  <r>
    <x v="41"/>
    <x v="38"/>
    <x v="2"/>
  </r>
  <r>
    <x v="42"/>
    <x v="39"/>
    <x v="3"/>
  </r>
  <r>
    <x v="43"/>
    <x v="39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">
  <r>
    <n v="1"/>
    <x v="0"/>
    <n v="11"/>
    <x v="0"/>
  </r>
  <r>
    <n v="2"/>
    <x v="1"/>
    <n v="16"/>
    <x v="0"/>
  </r>
  <r>
    <n v="3"/>
    <x v="2"/>
    <n v="18"/>
    <x v="0"/>
  </r>
  <r>
    <n v="4"/>
    <x v="3"/>
    <n v="14"/>
    <x v="0"/>
  </r>
  <r>
    <n v="5"/>
    <x v="4"/>
    <n v="14"/>
    <x v="0"/>
  </r>
  <r>
    <n v="6"/>
    <x v="5"/>
    <n v="12"/>
    <x v="0"/>
  </r>
  <r>
    <n v="7"/>
    <x v="6"/>
    <n v="20"/>
    <x v="0"/>
  </r>
  <r>
    <n v="8"/>
    <x v="7"/>
    <n v="11"/>
    <x v="0"/>
  </r>
  <r>
    <n v="9"/>
    <x v="8"/>
    <n v="18"/>
    <x v="0"/>
  </r>
  <r>
    <n v="10"/>
    <x v="9"/>
    <n v="5"/>
    <x v="0"/>
  </r>
  <r>
    <n v="11"/>
    <x v="10"/>
    <n v="170"/>
    <x v="1"/>
  </r>
  <r>
    <n v="12"/>
    <x v="11"/>
    <n v="167"/>
    <x v="1"/>
  </r>
  <r>
    <n v="13"/>
    <x v="12"/>
    <n v="189"/>
    <x v="1"/>
  </r>
  <r>
    <n v="14"/>
    <x v="13"/>
    <n v="156"/>
    <x v="1"/>
  </r>
  <r>
    <n v="15"/>
    <x v="14"/>
    <n v="162"/>
    <x v="1"/>
  </r>
  <r>
    <n v="16"/>
    <x v="15"/>
    <n v="170"/>
    <x v="1"/>
  </r>
  <r>
    <n v="17"/>
    <x v="16"/>
    <n v="167"/>
    <x v="1"/>
  </r>
  <r>
    <n v="18"/>
    <x v="17"/>
    <n v="200"/>
    <x v="1"/>
  </r>
  <r>
    <n v="19"/>
    <x v="18"/>
    <n v="203"/>
    <x v="1"/>
  </r>
  <r>
    <n v="20"/>
    <x v="19"/>
    <n v="176"/>
    <x v="1"/>
  </r>
  <r>
    <n v="21"/>
    <x v="20"/>
    <n v="311"/>
    <x v="2"/>
  </r>
  <r>
    <n v="22"/>
    <x v="21"/>
    <n v="354"/>
    <x v="2"/>
  </r>
  <r>
    <n v="23"/>
    <x v="22"/>
    <n v="349"/>
    <x v="2"/>
  </r>
  <r>
    <n v="24"/>
    <x v="23"/>
    <n v="341"/>
    <x v="2"/>
  </r>
  <r>
    <n v="25"/>
    <x v="24"/>
    <n v="345"/>
    <x v="2"/>
  </r>
  <r>
    <n v="26"/>
    <x v="25"/>
    <n v="316"/>
    <x v="2"/>
  </r>
  <r>
    <n v="27"/>
    <x v="26"/>
    <n v="311"/>
    <x v="2"/>
  </r>
  <r>
    <n v="28"/>
    <x v="27"/>
    <n v="354"/>
    <x v="2"/>
  </r>
  <r>
    <n v="29"/>
    <x v="28"/>
    <n v="349"/>
    <x v="2"/>
  </r>
  <r>
    <n v="30"/>
    <x v="29"/>
    <n v="341"/>
    <x v="2"/>
  </r>
  <r>
    <n v="31"/>
    <x v="30"/>
    <n v="600"/>
    <x v="3"/>
  </r>
  <r>
    <n v="32"/>
    <x v="31"/>
    <n v="710"/>
    <x v="3"/>
  </r>
  <r>
    <n v="33"/>
    <x v="32"/>
    <n v="700"/>
    <x v="3"/>
  </r>
  <r>
    <n v="34"/>
    <x v="33"/>
    <n v="601"/>
    <x v="3"/>
  </r>
  <r>
    <m/>
    <x v="34"/>
    <m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5">
  <r>
    <x v="0"/>
    <n v="3"/>
    <n v="11"/>
    <n v="18"/>
    <x v="0"/>
  </r>
  <r>
    <x v="1"/>
    <n v="8"/>
    <n v="16"/>
    <n v="14"/>
    <x v="0"/>
  </r>
  <r>
    <x v="2"/>
    <n v="11"/>
    <n v="18"/>
    <n v="14"/>
    <x v="0"/>
  </r>
  <r>
    <x v="3"/>
    <n v="16"/>
    <n v="14"/>
    <n v="16"/>
    <x v="0"/>
  </r>
  <r>
    <x v="4"/>
    <n v="18"/>
    <n v="14"/>
    <n v="18"/>
    <x v="0"/>
  </r>
  <r>
    <x v="5"/>
    <n v="14"/>
    <n v="12"/>
    <n v="14"/>
    <x v="0"/>
  </r>
  <r>
    <x v="6"/>
    <n v="12"/>
    <n v="20"/>
    <n v="12"/>
    <x v="0"/>
  </r>
  <r>
    <x v="7"/>
    <n v="20"/>
    <n v="11"/>
    <n v="18"/>
    <x v="0"/>
  </r>
  <r>
    <x v="8"/>
    <n v="22"/>
    <n v="18"/>
    <n v="14"/>
    <x v="0"/>
  </r>
  <r>
    <x v="9"/>
    <n v="9"/>
    <n v="5"/>
    <n v="14"/>
    <x v="0"/>
  </r>
  <r>
    <x v="10"/>
    <n v="156"/>
    <n v="170"/>
    <n v="162"/>
    <x v="1"/>
  </r>
  <r>
    <x v="11"/>
    <n v="162"/>
    <n v="167"/>
    <n v="170"/>
    <x v="1"/>
  </r>
  <r>
    <x v="12"/>
    <n v="170"/>
    <n v="189"/>
    <n v="167"/>
    <x v="1"/>
  </r>
  <r>
    <x v="13"/>
    <n v="167"/>
    <n v="156"/>
    <n v="189"/>
    <x v="1"/>
  </r>
  <r>
    <x v="14"/>
    <n v="189"/>
    <n v="162"/>
    <n v="170"/>
    <x v="1"/>
  </r>
  <r>
    <x v="15"/>
    <n v="200"/>
    <n v="170"/>
    <n v="167"/>
    <x v="1"/>
  </r>
  <r>
    <x v="16"/>
    <n v="203"/>
    <n v="167"/>
    <n v="200"/>
    <x v="1"/>
  </r>
  <r>
    <x v="17"/>
    <n v="176"/>
    <n v="200"/>
    <n v="200"/>
    <x v="1"/>
  </r>
  <r>
    <x v="18"/>
    <n v="177"/>
    <n v="203"/>
    <n v="203"/>
    <x v="1"/>
  </r>
  <r>
    <x v="19"/>
    <n v="183"/>
    <n v="176"/>
    <n v="176"/>
    <x v="1"/>
  </r>
  <r>
    <x v="20"/>
    <n v="310"/>
    <n v="311"/>
    <n v="349"/>
    <x v="2"/>
  </r>
  <r>
    <x v="21"/>
    <n v="330"/>
    <n v="354"/>
    <n v="341"/>
    <x v="2"/>
  </r>
  <r>
    <x v="22"/>
    <n v="345"/>
    <n v="349"/>
    <n v="345"/>
    <x v="2"/>
  </r>
  <r>
    <x v="23"/>
    <n v="316"/>
    <n v="341"/>
    <n v="316"/>
    <x v="2"/>
  </r>
  <r>
    <x v="24"/>
    <n v="311"/>
    <n v="345"/>
    <n v="316"/>
    <x v="2"/>
  </r>
  <r>
    <x v="25"/>
    <n v="354"/>
    <n v="316"/>
    <n v="311"/>
    <x v="2"/>
  </r>
  <r>
    <x v="26"/>
    <n v="349"/>
    <n v="311"/>
    <n v="354"/>
    <x v="2"/>
  </r>
  <r>
    <x v="27"/>
    <n v="341"/>
    <n v="354"/>
    <n v="349"/>
    <x v="2"/>
  </r>
  <r>
    <x v="28"/>
    <n v="339"/>
    <n v="349"/>
    <n v="349"/>
    <x v="2"/>
  </r>
  <r>
    <x v="29"/>
    <n v="335"/>
    <n v="341"/>
    <n v="341"/>
    <x v="2"/>
  </r>
  <r>
    <x v="30"/>
    <n v="187"/>
    <n v="600"/>
    <n v="339"/>
    <x v="3"/>
  </r>
  <r>
    <x v="31"/>
    <n v="222"/>
    <n v="710"/>
    <n v="335"/>
    <x v="3"/>
  </r>
  <r>
    <x v="32"/>
    <n v="224"/>
    <n v="700"/>
    <n v="600"/>
    <x v="3"/>
  </r>
  <r>
    <x v="33"/>
    <n v="225"/>
    <n v="601"/>
    <n v="710"/>
    <x v="3"/>
  </r>
  <r>
    <x v="34"/>
    <m/>
    <m/>
    <m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5">
  <r>
    <x v="0"/>
    <n v="3"/>
    <n v="11"/>
    <n v="18"/>
    <n v="14"/>
    <x v="0"/>
  </r>
  <r>
    <x v="1"/>
    <n v="8"/>
    <n v="16"/>
    <n v="14"/>
    <n v="16"/>
    <x v="0"/>
  </r>
  <r>
    <x v="2"/>
    <n v="11"/>
    <n v="18"/>
    <n v="14"/>
    <n v="18"/>
    <x v="0"/>
  </r>
  <r>
    <x v="3"/>
    <n v="16"/>
    <n v="14"/>
    <n v="16"/>
    <n v="14"/>
    <x v="0"/>
  </r>
  <r>
    <x v="4"/>
    <n v="18"/>
    <n v="14"/>
    <n v="18"/>
    <n v="12"/>
    <x v="0"/>
  </r>
  <r>
    <x v="5"/>
    <n v="14"/>
    <n v="12"/>
    <n v="14"/>
    <n v="20"/>
    <x v="0"/>
  </r>
  <r>
    <x v="6"/>
    <n v="12"/>
    <n v="20"/>
    <n v="12"/>
    <n v="11"/>
    <x v="0"/>
  </r>
  <r>
    <x v="7"/>
    <n v="20"/>
    <n v="11"/>
    <n v="18"/>
    <n v="18"/>
    <x v="0"/>
  </r>
  <r>
    <x v="8"/>
    <n v="22"/>
    <n v="18"/>
    <n v="14"/>
    <n v="12"/>
    <x v="0"/>
  </r>
  <r>
    <x v="9"/>
    <n v="9"/>
    <n v="5"/>
    <n v="14"/>
    <n v="20"/>
    <x v="0"/>
  </r>
  <r>
    <x v="10"/>
    <n v="156"/>
    <n v="170"/>
    <n v="162"/>
    <n v="170"/>
    <x v="1"/>
  </r>
  <r>
    <x v="11"/>
    <n v="162"/>
    <n v="167"/>
    <n v="170"/>
    <n v="167"/>
    <x v="1"/>
  </r>
  <r>
    <x v="12"/>
    <n v="170"/>
    <n v="189"/>
    <n v="167"/>
    <n v="200"/>
    <x v="1"/>
  </r>
  <r>
    <x v="13"/>
    <n v="167"/>
    <n v="156"/>
    <n v="189"/>
    <n v="200"/>
    <x v="1"/>
  </r>
  <r>
    <x v="14"/>
    <n v="189"/>
    <n v="162"/>
    <n v="170"/>
    <n v="203"/>
    <x v="1"/>
  </r>
  <r>
    <x v="15"/>
    <n v="200"/>
    <n v="170"/>
    <n v="167"/>
    <n v="156"/>
    <x v="1"/>
  </r>
  <r>
    <x v="16"/>
    <n v="203"/>
    <n v="167"/>
    <n v="200"/>
    <n v="162"/>
    <x v="1"/>
  </r>
  <r>
    <x v="17"/>
    <n v="176"/>
    <n v="200"/>
    <n v="200"/>
    <n v="170"/>
    <x v="1"/>
  </r>
  <r>
    <x v="18"/>
    <n v="177"/>
    <n v="203"/>
    <n v="203"/>
    <n v="167"/>
    <x v="1"/>
  </r>
  <r>
    <x v="19"/>
    <n v="183"/>
    <n v="176"/>
    <n v="176"/>
    <n v="189"/>
    <x v="1"/>
  </r>
  <r>
    <x v="20"/>
    <n v="310"/>
    <n v="311"/>
    <n v="349"/>
    <n v="311"/>
    <x v="2"/>
  </r>
  <r>
    <x v="21"/>
    <n v="330"/>
    <n v="354"/>
    <n v="341"/>
    <n v="316"/>
    <x v="2"/>
  </r>
  <r>
    <x v="22"/>
    <n v="345"/>
    <n v="349"/>
    <n v="345"/>
    <n v="311"/>
    <x v="2"/>
  </r>
  <r>
    <x v="23"/>
    <n v="316"/>
    <n v="341"/>
    <n v="316"/>
    <n v="354"/>
    <x v="2"/>
  </r>
  <r>
    <x v="24"/>
    <n v="311"/>
    <n v="345"/>
    <n v="316"/>
    <n v="349"/>
    <x v="2"/>
  </r>
  <r>
    <x v="25"/>
    <n v="354"/>
    <n v="316"/>
    <n v="311"/>
    <n v="354"/>
    <x v="2"/>
  </r>
  <r>
    <x v="26"/>
    <n v="349"/>
    <n v="311"/>
    <n v="354"/>
    <n v="349"/>
    <x v="2"/>
  </r>
  <r>
    <x v="27"/>
    <n v="341"/>
    <n v="354"/>
    <n v="349"/>
    <n v="341"/>
    <x v="2"/>
  </r>
  <r>
    <x v="28"/>
    <n v="339"/>
    <n v="349"/>
    <n v="349"/>
    <n v="600"/>
    <x v="2"/>
  </r>
  <r>
    <x v="29"/>
    <n v="335"/>
    <n v="341"/>
    <n v="341"/>
    <n v="311"/>
    <x v="2"/>
  </r>
  <r>
    <x v="30"/>
    <n v="187"/>
    <n v="600"/>
    <n v="339"/>
    <n v="354"/>
    <x v="3"/>
  </r>
  <r>
    <x v="31"/>
    <n v="222"/>
    <n v="710"/>
    <n v="335"/>
    <n v="349"/>
    <x v="3"/>
  </r>
  <r>
    <x v="32"/>
    <n v="224"/>
    <n v="700"/>
    <n v="600"/>
    <n v="354"/>
    <x v="3"/>
  </r>
  <r>
    <x v="33"/>
    <n v="225"/>
    <n v="601"/>
    <n v="710"/>
    <n v="349"/>
    <x v="3"/>
  </r>
  <r>
    <x v="34"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B32" firstHeaderRow="1" firstDataRow="1" firstDataCol="1" rowPageCount="1" colPageCount="1"/>
  <pivotFields count="3">
    <pivotField axis="axisRow" showAll="0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h="1" x="43"/>
        <item t="default"/>
      </items>
    </pivotField>
    <pivotField dataField="1" showAll="0">
      <items count="41">
        <item x="33"/>
        <item x="34"/>
        <item x="11"/>
        <item x="12"/>
        <item x="9"/>
        <item x="10"/>
        <item x="13"/>
        <item x="19"/>
        <item x="14"/>
        <item x="15"/>
        <item x="16"/>
        <item x="17"/>
        <item x="29"/>
        <item x="30"/>
        <item x="2"/>
        <item x="0"/>
        <item x="5"/>
        <item x="1"/>
        <item x="3"/>
        <item x="4"/>
        <item x="7"/>
        <item x="8"/>
        <item x="6"/>
        <item x="32"/>
        <item x="36"/>
        <item x="31"/>
        <item x="35"/>
        <item x="18"/>
        <item x="37"/>
        <item x="20"/>
        <item x="21"/>
        <item x="28"/>
        <item x="22"/>
        <item x="23"/>
        <item x="24"/>
        <item x="25"/>
        <item x="27"/>
        <item x="26"/>
        <item x="38"/>
        <item h="1" x="39"/>
        <item t="default"/>
      </items>
    </pivotField>
    <pivotField axis="axisPage" multipleItemSelectionAllowed="1" showAll="0">
      <items count="5">
        <item h="1" x="2"/>
        <item h="1" x="1"/>
        <item x="0"/>
        <item h="1" x="3"/>
        <item t="default"/>
      </items>
    </pivotField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31"/>
    </i>
    <i>
      <x v="32"/>
    </i>
    <i>
      <x v="33"/>
    </i>
    <i>
      <x v="34"/>
    </i>
    <i>
      <x v="35"/>
    </i>
    <i>
      <x v="36"/>
    </i>
    <i>
      <x v="38"/>
    </i>
    <i t="grand">
      <x/>
    </i>
  </rowItems>
  <colItems count="1">
    <i/>
  </colItems>
  <pageFields count="1">
    <pageField fld="2" hier="-1"/>
  </pageFields>
  <dataFields count="1">
    <dataField name="Suma de OneVarGroup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6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B8" firstHeaderRow="1" firstDataRow="1" firstDataCol="1" rowPageCount="1" colPageCount="1"/>
  <pivotFields count="4">
    <pivotField showAll="0"/>
    <pivotField axis="axisRow" showAll="0">
      <items count="36">
        <item x="0"/>
        <item x="1"/>
        <item x="9"/>
        <item x="2"/>
        <item x="6"/>
        <item x="5"/>
        <item x="3"/>
        <item x="4"/>
        <item x="7"/>
        <item x="8"/>
        <item x="10"/>
        <item x="11"/>
        <item x="13"/>
        <item x="12"/>
        <item x="17"/>
        <item x="18"/>
        <item x="19"/>
        <item x="30"/>
        <item x="14"/>
        <item x="15"/>
        <item x="16"/>
        <item x="31"/>
        <item x="32"/>
        <item x="33"/>
        <item x="20"/>
        <item x="24"/>
        <item x="23"/>
        <item x="21"/>
        <item x="29"/>
        <item x="28"/>
        <item x="27"/>
        <item x="22"/>
        <item x="26"/>
        <item x="25"/>
        <item x="34"/>
        <item t="default"/>
      </items>
    </pivotField>
    <pivotField dataField="1" showAll="0"/>
    <pivotField axis="axisPage" multipleItemSelectionAllowed="1" showAll="0">
      <items count="6">
        <item h="1" x="0"/>
        <item h="1" x="1"/>
        <item h="1" x="2"/>
        <item x="3"/>
        <item h="1" x="4"/>
        <item t="default"/>
      </items>
    </pivotField>
  </pivotFields>
  <rowFields count="1">
    <field x="1"/>
  </rowFields>
  <rowItems count="5">
    <i>
      <x v="17"/>
    </i>
    <i>
      <x v="21"/>
    </i>
    <i>
      <x v="22"/>
    </i>
    <i>
      <x v="23"/>
    </i>
    <i t="grand">
      <x/>
    </i>
  </rowItems>
  <colItems count="1">
    <i/>
  </colItems>
  <pageFields count="1">
    <pageField fld="3" hier="-1"/>
  </pageFields>
  <dataFields count="1">
    <dataField name="Suma de y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7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D9" firstHeaderRow="1" firstDataRow="2" firstDataCol="1" rowPageCount="1" colPageCount="1"/>
  <pivotFields count="5"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dataField="1" showAll="0"/>
    <pivotField dataField="1" showAll="0"/>
    <pivotField dataField="1" showAll="0"/>
    <pivotField axis="axisPage" multipleItemSelectionAllowed="1" showAll="0">
      <items count="6">
        <item h="1" x="0"/>
        <item h="1" x="1"/>
        <item h="1" x="2"/>
        <item x="3"/>
        <item h="1" x="4"/>
        <item t="default"/>
      </items>
    </pivotField>
  </pivotFields>
  <rowFields count="1">
    <field x="0"/>
  </rowFields>
  <rowItems count="5">
    <i>
      <x v="30"/>
    </i>
    <i>
      <x v="31"/>
    </i>
    <i>
      <x v="32"/>
    </i>
    <i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hier="-1"/>
  </pageFields>
  <dataFields count="3">
    <dataField name="Suma de x" fld="1" baseField="0" baseItem="0"/>
    <dataField name="Suma de y" fld="2" baseField="0" baseItem="0"/>
    <dataField name="Suma de z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8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E9" firstHeaderRow="1" firstDataRow="2" firstDataCol="1" rowPageCount="1" colPageCount="1"/>
  <pivotFields count="6"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dataField="1" showAll="0"/>
    <pivotField dataField="1" showAll="0"/>
    <pivotField dataField="1" showAll="0"/>
    <pivotField dataField="1" showAll="0"/>
    <pivotField axis="axisPage" multipleItemSelectionAllowed="1" showAll="0">
      <items count="6">
        <item h="1" x="0"/>
        <item h="1" x="1"/>
        <item h="1" x="2"/>
        <item x="3"/>
        <item h="1" x="4"/>
        <item t="default"/>
      </items>
    </pivotField>
  </pivotFields>
  <rowFields count="1">
    <field x="0"/>
  </rowFields>
  <rowItems count="5">
    <i>
      <x v="30"/>
    </i>
    <i>
      <x v="31"/>
    </i>
    <i>
      <x v="32"/>
    </i>
    <i>
      <x v="3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uma de x" fld="1" baseField="0" baseItem="0"/>
    <dataField name="Suma de y" fld="2" baseField="0" baseItem="0"/>
    <dataField name="Suma de z" fld="3" baseField="0" baseItem="0"/>
    <dataField name="Suma de w" fld="4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Advertising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45"/>
  <sheetViews>
    <sheetView topLeftCell="A14" workbookViewId="0">
      <selection activeCell="A22" sqref="A22:A31"/>
    </sheetView>
  </sheetViews>
  <sheetFormatPr baseColWidth="10" defaultColWidth="11.5546875" defaultRowHeight="14.4"/>
  <cols>
    <col min="2" max="2" width="12.88671875" bestFit="1" customWidth="1"/>
  </cols>
  <sheetData>
    <row r="1" spans="1:15">
      <c r="A1" t="s">
        <v>2</v>
      </c>
      <c r="B1" t="s">
        <v>20</v>
      </c>
      <c r="C1">
        <v>3</v>
      </c>
      <c r="K1" t="s">
        <v>2</v>
      </c>
      <c r="L1" t="s">
        <v>20</v>
      </c>
      <c r="M1" t="s">
        <v>3</v>
      </c>
      <c r="N1" t="s">
        <v>13</v>
      </c>
      <c r="O1" t="s">
        <v>24</v>
      </c>
    </row>
    <row r="2" spans="1:15">
      <c r="A2">
        <v>1</v>
      </c>
      <c r="B2">
        <v>107</v>
      </c>
      <c r="C2">
        <v>3</v>
      </c>
      <c r="K2" s="7">
        <v>1</v>
      </c>
      <c r="L2" s="5">
        <v>107</v>
      </c>
      <c r="M2">
        <v>3</v>
      </c>
    </row>
    <row r="3" spans="1:15">
      <c r="A3">
        <v>2</v>
      </c>
      <c r="B3">
        <v>109</v>
      </c>
      <c r="C3">
        <v>3</v>
      </c>
      <c r="K3" s="7">
        <v>2</v>
      </c>
      <c r="L3" s="5">
        <v>109</v>
      </c>
      <c r="M3">
        <v>3</v>
      </c>
    </row>
    <row r="4" spans="1:15">
      <c r="A4">
        <v>3</v>
      </c>
      <c r="B4">
        <v>106</v>
      </c>
      <c r="C4">
        <v>3</v>
      </c>
      <c r="K4" s="7">
        <v>3</v>
      </c>
      <c r="L4" s="5">
        <v>106</v>
      </c>
      <c r="M4">
        <v>3</v>
      </c>
    </row>
    <row r="5" spans="1:15">
      <c r="A5">
        <v>4</v>
      </c>
      <c r="B5">
        <v>111</v>
      </c>
      <c r="C5">
        <v>3</v>
      </c>
      <c r="K5" s="7">
        <v>4</v>
      </c>
      <c r="L5" s="5">
        <v>111</v>
      </c>
      <c r="M5">
        <v>3</v>
      </c>
    </row>
    <row r="6" spans="1:15">
      <c r="A6">
        <v>5</v>
      </c>
      <c r="B6">
        <v>112</v>
      </c>
      <c r="C6">
        <v>3</v>
      </c>
      <c r="K6" s="7">
        <v>5</v>
      </c>
      <c r="L6" s="5">
        <v>112</v>
      </c>
      <c r="M6">
        <v>3</v>
      </c>
    </row>
    <row r="7" spans="1:15">
      <c r="A7">
        <v>6</v>
      </c>
      <c r="B7">
        <v>108</v>
      </c>
      <c r="C7">
        <v>3</v>
      </c>
      <c r="K7" s="7">
        <v>6</v>
      </c>
      <c r="L7" s="5">
        <v>108</v>
      </c>
      <c r="M7">
        <v>3</v>
      </c>
    </row>
    <row r="8" spans="1:15">
      <c r="A8">
        <v>7</v>
      </c>
      <c r="B8">
        <v>144</v>
      </c>
      <c r="C8">
        <v>3</v>
      </c>
      <c r="K8" s="7">
        <v>7</v>
      </c>
      <c r="L8" s="5">
        <v>144</v>
      </c>
      <c r="M8">
        <v>3</v>
      </c>
    </row>
    <row r="9" spans="1:15">
      <c r="A9">
        <v>8</v>
      </c>
      <c r="B9">
        <v>107</v>
      </c>
      <c r="C9">
        <v>3</v>
      </c>
      <c r="K9" s="7">
        <v>8</v>
      </c>
      <c r="L9" s="5">
        <v>107</v>
      </c>
      <c r="M9">
        <v>3</v>
      </c>
    </row>
    <row r="10" spans="1:15">
      <c r="A10">
        <v>9</v>
      </c>
      <c r="B10">
        <v>108</v>
      </c>
      <c r="C10">
        <v>3</v>
      </c>
      <c r="K10" s="7">
        <v>9</v>
      </c>
      <c r="L10" s="5">
        <v>108</v>
      </c>
      <c r="M10">
        <v>3</v>
      </c>
    </row>
    <row r="11" spans="1:15">
      <c r="A11">
        <v>10</v>
      </c>
      <c r="B11">
        <v>120</v>
      </c>
      <c r="C11">
        <v>3</v>
      </c>
      <c r="K11" s="7">
        <v>10</v>
      </c>
      <c r="L11" s="5">
        <v>120</v>
      </c>
      <c r="M11">
        <v>3</v>
      </c>
    </row>
    <row r="12" spans="1:15">
      <c r="A12">
        <v>11</v>
      </c>
      <c r="B12">
        <v>130</v>
      </c>
      <c r="C12">
        <v>3</v>
      </c>
      <c r="K12" s="7">
        <v>11</v>
      </c>
      <c r="L12" s="5">
        <v>130</v>
      </c>
      <c r="M12">
        <v>3</v>
      </c>
    </row>
    <row r="13" spans="1:15">
      <c r="A13">
        <v>12</v>
      </c>
      <c r="B13">
        <v>56</v>
      </c>
      <c r="C13">
        <v>3</v>
      </c>
      <c r="K13" s="7">
        <v>12</v>
      </c>
      <c r="L13" s="5">
        <v>56</v>
      </c>
      <c r="M13">
        <v>3</v>
      </c>
    </row>
    <row r="14" spans="1:15">
      <c r="A14">
        <v>13</v>
      </c>
      <c r="B14">
        <v>58</v>
      </c>
      <c r="C14">
        <v>3</v>
      </c>
      <c r="K14" s="7">
        <v>13</v>
      </c>
      <c r="L14" s="5">
        <v>58</v>
      </c>
      <c r="M14">
        <v>3</v>
      </c>
    </row>
    <row r="15" spans="1:15">
      <c r="A15">
        <v>14</v>
      </c>
      <c r="B15">
        <v>50</v>
      </c>
      <c r="C15">
        <v>3</v>
      </c>
      <c r="K15" s="7">
        <v>14</v>
      </c>
      <c r="L15" s="5">
        <v>50</v>
      </c>
      <c r="M15">
        <v>3</v>
      </c>
    </row>
    <row r="16" spans="1:15">
      <c r="A16">
        <v>15</v>
      </c>
      <c r="B16">
        <v>52</v>
      </c>
      <c r="C16">
        <v>3</v>
      </c>
      <c r="K16" s="7">
        <v>15</v>
      </c>
      <c r="L16" s="5">
        <v>52</v>
      </c>
      <c r="M16">
        <v>3</v>
      </c>
    </row>
    <row r="17" spans="1:15">
      <c r="A17">
        <v>16</v>
      </c>
      <c r="B17">
        <v>59</v>
      </c>
      <c r="C17">
        <v>3</v>
      </c>
      <c r="K17" s="7">
        <v>16</v>
      </c>
      <c r="L17" s="5">
        <v>59</v>
      </c>
      <c r="M17">
        <v>3</v>
      </c>
    </row>
    <row r="18" spans="1:15">
      <c r="A18">
        <v>17</v>
      </c>
      <c r="B18">
        <v>63</v>
      </c>
      <c r="C18">
        <v>3</v>
      </c>
      <c r="K18" s="7">
        <v>17</v>
      </c>
      <c r="L18" s="5">
        <v>63</v>
      </c>
      <c r="M18">
        <v>3</v>
      </c>
    </row>
    <row r="19" spans="1:15">
      <c r="A19">
        <v>18</v>
      </c>
      <c r="B19">
        <v>64</v>
      </c>
      <c r="C19">
        <v>3</v>
      </c>
      <c r="K19" s="7">
        <v>18</v>
      </c>
      <c r="L19" s="5">
        <v>64</v>
      </c>
      <c r="M19">
        <v>3</v>
      </c>
    </row>
    <row r="20" spans="1:15">
      <c r="A20">
        <v>19</v>
      </c>
      <c r="B20">
        <v>65</v>
      </c>
      <c r="C20">
        <v>3</v>
      </c>
      <c r="K20" s="7">
        <v>19</v>
      </c>
      <c r="L20" s="5">
        <v>65</v>
      </c>
      <c r="M20">
        <v>3</v>
      </c>
    </row>
    <row r="21" spans="1:15">
      <c r="A21">
        <v>20</v>
      </c>
      <c r="B21">
        <v>66</v>
      </c>
      <c r="C21">
        <v>3</v>
      </c>
      <c r="K21" s="7">
        <v>20</v>
      </c>
      <c r="L21" s="5">
        <v>66</v>
      </c>
      <c r="M21">
        <v>3</v>
      </c>
    </row>
    <row r="22" spans="1:15">
      <c r="A22">
        <v>21</v>
      </c>
      <c r="B22">
        <v>400</v>
      </c>
      <c r="C22">
        <v>2</v>
      </c>
      <c r="K22" s="7">
        <v>22</v>
      </c>
      <c r="L22" s="5">
        <v>61</v>
      </c>
      <c r="M22">
        <v>3</v>
      </c>
    </row>
    <row r="23" spans="1:15">
      <c r="A23">
        <v>22</v>
      </c>
      <c r="B23">
        <v>61</v>
      </c>
      <c r="C23">
        <v>3</v>
      </c>
      <c r="K23" s="7">
        <v>32</v>
      </c>
      <c r="L23" s="5">
        <v>101</v>
      </c>
      <c r="M23">
        <v>3</v>
      </c>
    </row>
    <row r="24" spans="1:15">
      <c r="A24">
        <v>23</v>
      </c>
      <c r="B24">
        <v>800</v>
      </c>
      <c r="C24">
        <v>1</v>
      </c>
      <c r="K24" s="7">
        <v>33</v>
      </c>
      <c r="L24" s="5">
        <v>105</v>
      </c>
      <c r="M24">
        <v>3</v>
      </c>
    </row>
    <row r="25" spans="1:15">
      <c r="A25">
        <v>24</v>
      </c>
      <c r="B25">
        <v>855</v>
      </c>
      <c r="C25">
        <v>1</v>
      </c>
      <c r="K25" s="7">
        <v>34</v>
      </c>
      <c r="L25" s="5">
        <v>235</v>
      </c>
      <c r="M25">
        <v>3</v>
      </c>
    </row>
    <row r="26" spans="1:15">
      <c r="A26">
        <v>25</v>
      </c>
      <c r="B26">
        <v>900</v>
      </c>
      <c r="C26">
        <v>1</v>
      </c>
      <c r="K26" s="7">
        <v>35</v>
      </c>
      <c r="L26" s="5">
        <v>178</v>
      </c>
      <c r="M26">
        <v>3</v>
      </c>
    </row>
    <row r="27" spans="1:15">
      <c r="A27">
        <v>26</v>
      </c>
      <c r="B27">
        <v>920</v>
      </c>
      <c r="C27">
        <v>1</v>
      </c>
      <c r="K27" s="7">
        <v>36</v>
      </c>
      <c r="L27" s="5">
        <v>1</v>
      </c>
      <c r="M27">
        <v>3</v>
      </c>
    </row>
    <row r="28" spans="1:15">
      <c r="A28">
        <v>27</v>
      </c>
      <c r="B28">
        <v>930</v>
      </c>
      <c r="C28">
        <v>1</v>
      </c>
      <c r="K28" s="7">
        <v>37</v>
      </c>
      <c r="L28" s="5">
        <v>2</v>
      </c>
      <c r="M28">
        <v>3</v>
      </c>
      <c r="N28" t="s">
        <v>0</v>
      </c>
      <c r="O28" t="s">
        <v>0</v>
      </c>
    </row>
    <row r="29" spans="1:15">
      <c r="A29">
        <v>28</v>
      </c>
      <c r="B29">
        <v>940</v>
      </c>
      <c r="C29">
        <v>1</v>
      </c>
      <c r="K29" s="7">
        <v>39</v>
      </c>
      <c r="L29" s="5">
        <v>200</v>
      </c>
      <c r="M29">
        <v>3</v>
      </c>
      <c r="N29">
        <v>95.64</v>
      </c>
      <c r="O29">
        <f>STDEVP(L3:L30)</f>
        <v>76.355063114801411</v>
      </c>
    </row>
    <row r="30" spans="1:15">
      <c r="A30">
        <v>29</v>
      </c>
      <c r="B30">
        <v>1000</v>
      </c>
      <c r="C30">
        <v>1</v>
      </c>
      <c r="K30" s="7">
        <v>21</v>
      </c>
      <c r="L30" s="5">
        <v>400</v>
      </c>
      <c r="M30">
        <v>2</v>
      </c>
    </row>
    <row r="31" spans="1:15">
      <c r="A31">
        <v>30</v>
      </c>
      <c r="B31">
        <v>980</v>
      </c>
      <c r="C31">
        <v>1</v>
      </c>
      <c r="K31" s="7">
        <v>38</v>
      </c>
      <c r="L31" s="5">
        <v>345</v>
      </c>
      <c r="M31">
        <v>2</v>
      </c>
    </row>
    <row r="32" spans="1:15">
      <c r="A32">
        <v>31</v>
      </c>
      <c r="B32">
        <v>890</v>
      </c>
      <c r="C32">
        <v>1</v>
      </c>
      <c r="K32" s="7">
        <v>40</v>
      </c>
      <c r="L32" s="5">
        <v>546</v>
      </c>
      <c r="M32">
        <v>2</v>
      </c>
      <c r="N32">
        <v>430</v>
      </c>
      <c r="O32">
        <f>STDEVP(L30:L32)</f>
        <v>84.814830988191886</v>
      </c>
    </row>
    <row r="33" spans="1:15">
      <c r="A33">
        <v>32</v>
      </c>
      <c r="B33">
        <v>101</v>
      </c>
      <c r="C33">
        <v>3</v>
      </c>
      <c r="K33" s="7">
        <v>23</v>
      </c>
      <c r="L33" s="5">
        <v>800</v>
      </c>
      <c r="M33">
        <v>1</v>
      </c>
    </row>
    <row r="34" spans="1:15">
      <c r="A34">
        <v>33</v>
      </c>
      <c r="B34">
        <v>105</v>
      </c>
      <c r="C34">
        <v>3</v>
      </c>
      <c r="K34" s="7">
        <v>24</v>
      </c>
      <c r="L34" s="5">
        <v>855</v>
      </c>
      <c r="M34">
        <v>1</v>
      </c>
    </row>
    <row r="35" spans="1:15">
      <c r="A35">
        <v>34</v>
      </c>
      <c r="B35">
        <v>235</v>
      </c>
      <c r="C35">
        <v>3</v>
      </c>
      <c r="K35" s="7">
        <v>25</v>
      </c>
      <c r="L35" s="5">
        <v>900</v>
      </c>
      <c r="M35">
        <v>1</v>
      </c>
    </row>
    <row r="36" spans="1:15">
      <c r="A36">
        <v>35</v>
      </c>
      <c r="B36">
        <v>178</v>
      </c>
      <c r="C36">
        <v>3</v>
      </c>
      <c r="K36" s="7">
        <v>26</v>
      </c>
      <c r="L36" s="5">
        <v>920</v>
      </c>
      <c r="M36">
        <v>1</v>
      </c>
    </row>
    <row r="37" spans="1:15">
      <c r="A37">
        <v>36</v>
      </c>
      <c r="B37">
        <v>1</v>
      </c>
      <c r="C37">
        <v>3</v>
      </c>
      <c r="K37" s="7">
        <v>27</v>
      </c>
      <c r="L37" s="5">
        <v>930</v>
      </c>
      <c r="M37">
        <v>1</v>
      </c>
    </row>
    <row r="38" spans="1:15">
      <c r="A38">
        <v>37</v>
      </c>
      <c r="B38">
        <v>2</v>
      </c>
      <c r="C38">
        <v>3</v>
      </c>
      <c r="K38" s="7">
        <v>28</v>
      </c>
      <c r="L38" s="5">
        <v>940</v>
      </c>
      <c r="M38">
        <v>1</v>
      </c>
    </row>
    <row r="39" spans="1:15">
      <c r="A39">
        <v>38</v>
      </c>
      <c r="B39">
        <v>345</v>
      </c>
      <c r="C39">
        <v>2</v>
      </c>
      <c r="K39" s="7">
        <v>29</v>
      </c>
      <c r="L39" s="5">
        <v>1000</v>
      </c>
      <c r="M39">
        <v>1</v>
      </c>
    </row>
    <row r="40" spans="1:15">
      <c r="A40">
        <v>39</v>
      </c>
      <c r="B40">
        <v>200</v>
      </c>
      <c r="C40">
        <v>3</v>
      </c>
      <c r="K40" s="7">
        <v>30</v>
      </c>
      <c r="L40" s="5">
        <v>980</v>
      </c>
      <c r="M40">
        <v>1</v>
      </c>
    </row>
    <row r="41" spans="1:15">
      <c r="A41">
        <v>40</v>
      </c>
      <c r="B41">
        <v>546</v>
      </c>
      <c r="C41">
        <v>2</v>
      </c>
      <c r="K41" s="7">
        <v>31</v>
      </c>
      <c r="L41" s="5">
        <v>890</v>
      </c>
      <c r="M41">
        <v>1</v>
      </c>
    </row>
    <row r="42" spans="1:15">
      <c r="A42">
        <v>41</v>
      </c>
      <c r="B42">
        <v>1000</v>
      </c>
      <c r="C42">
        <v>1</v>
      </c>
      <c r="K42" s="7">
        <v>41</v>
      </c>
      <c r="L42" s="5">
        <v>1000</v>
      </c>
      <c r="M42">
        <v>1</v>
      </c>
    </row>
    <row r="43" spans="1:15">
      <c r="A43">
        <v>42</v>
      </c>
      <c r="B43">
        <v>1020</v>
      </c>
      <c r="C43">
        <v>1</v>
      </c>
      <c r="K43" s="7">
        <v>42</v>
      </c>
      <c r="L43" s="5">
        <v>1020</v>
      </c>
      <c r="M43">
        <v>1</v>
      </c>
      <c r="N43">
        <v>930.45</v>
      </c>
      <c r="O43">
        <f>STDEVP(L33:L43)</f>
        <v>64.40124735715159</v>
      </c>
    </row>
    <row r="44" spans="1:15">
      <c r="B44" t="s">
        <v>0</v>
      </c>
    </row>
    <row r="45" spans="1:15">
      <c r="B45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32"/>
  <sheetViews>
    <sheetView workbookViewId="0">
      <selection activeCell="B10" sqref="B10"/>
    </sheetView>
  </sheetViews>
  <sheetFormatPr baseColWidth="10" defaultRowHeight="14.4"/>
  <cols>
    <col min="1" max="1" width="15.109375" bestFit="1" customWidth="1"/>
    <col min="2" max="2" width="21.33203125" bestFit="1" customWidth="1"/>
  </cols>
  <sheetData>
    <row r="1" spans="1:2">
      <c r="A1" s="6" t="s">
        <v>3</v>
      </c>
      <c r="B1" s="7">
        <v>3</v>
      </c>
    </row>
    <row r="3" spans="1:2">
      <c r="A3" s="6" t="s">
        <v>21</v>
      </c>
      <c r="B3" t="s">
        <v>23</v>
      </c>
    </row>
    <row r="4" spans="1:2">
      <c r="A4" s="7">
        <v>1</v>
      </c>
      <c r="B4" s="5">
        <v>107</v>
      </c>
    </row>
    <row r="5" spans="1:2">
      <c r="A5" s="7">
        <v>2</v>
      </c>
      <c r="B5" s="5">
        <v>109</v>
      </c>
    </row>
    <row r="6" spans="1:2">
      <c r="A6" s="7">
        <v>3</v>
      </c>
      <c r="B6" s="5">
        <v>106</v>
      </c>
    </row>
    <row r="7" spans="1:2">
      <c r="A7" s="7">
        <v>4</v>
      </c>
      <c r="B7" s="5">
        <v>111</v>
      </c>
    </row>
    <row r="8" spans="1:2">
      <c r="A8" s="7">
        <v>5</v>
      </c>
      <c r="B8" s="5">
        <v>112</v>
      </c>
    </row>
    <row r="9" spans="1:2">
      <c r="A9" s="7">
        <v>6</v>
      </c>
      <c r="B9" s="5">
        <v>108</v>
      </c>
    </row>
    <row r="10" spans="1:2">
      <c r="A10" s="7">
        <v>7</v>
      </c>
      <c r="B10" s="5">
        <v>144</v>
      </c>
    </row>
    <row r="11" spans="1:2">
      <c r="A11" s="7">
        <v>8</v>
      </c>
      <c r="B11" s="5">
        <v>107</v>
      </c>
    </row>
    <row r="12" spans="1:2">
      <c r="A12" s="7">
        <v>9</v>
      </c>
      <c r="B12" s="5">
        <v>108</v>
      </c>
    </row>
    <row r="13" spans="1:2">
      <c r="A13" s="7">
        <v>10</v>
      </c>
      <c r="B13" s="5">
        <v>120</v>
      </c>
    </row>
    <row r="14" spans="1:2">
      <c r="A14" s="7">
        <v>11</v>
      </c>
      <c r="B14" s="5">
        <v>130</v>
      </c>
    </row>
    <row r="15" spans="1:2">
      <c r="A15" s="7">
        <v>12</v>
      </c>
      <c r="B15" s="5">
        <v>56</v>
      </c>
    </row>
    <row r="16" spans="1:2">
      <c r="A16" s="7">
        <v>13</v>
      </c>
      <c r="B16" s="5">
        <v>58</v>
      </c>
    </row>
    <row r="17" spans="1:2">
      <c r="A17" s="7">
        <v>14</v>
      </c>
      <c r="B17" s="5">
        <v>50</v>
      </c>
    </row>
    <row r="18" spans="1:2">
      <c r="A18" s="7">
        <v>15</v>
      </c>
      <c r="B18" s="5">
        <v>52</v>
      </c>
    </row>
    <row r="19" spans="1:2">
      <c r="A19" s="7">
        <v>16</v>
      </c>
      <c r="B19" s="5">
        <v>59</v>
      </c>
    </row>
    <row r="20" spans="1:2">
      <c r="A20" s="7">
        <v>17</v>
      </c>
      <c r="B20" s="5">
        <v>63</v>
      </c>
    </row>
    <row r="21" spans="1:2">
      <c r="A21" s="7">
        <v>18</v>
      </c>
      <c r="B21" s="5">
        <v>64</v>
      </c>
    </row>
    <row r="22" spans="1:2">
      <c r="A22" s="7">
        <v>19</v>
      </c>
      <c r="B22" s="5">
        <v>65</v>
      </c>
    </row>
    <row r="23" spans="1:2">
      <c r="A23" s="7">
        <v>20</v>
      </c>
      <c r="B23" s="5">
        <v>66</v>
      </c>
    </row>
    <row r="24" spans="1:2">
      <c r="A24" s="7">
        <v>22</v>
      </c>
      <c r="B24" s="5">
        <v>61</v>
      </c>
    </row>
    <row r="25" spans="1:2">
      <c r="A25" s="7">
        <v>32</v>
      </c>
      <c r="B25" s="5">
        <v>101</v>
      </c>
    </row>
    <row r="26" spans="1:2">
      <c r="A26" s="7">
        <v>33</v>
      </c>
      <c r="B26" s="5">
        <v>105</v>
      </c>
    </row>
    <row r="27" spans="1:2">
      <c r="A27" s="7">
        <v>34</v>
      </c>
      <c r="B27" s="5">
        <v>235</v>
      </c>
    </row>
    <row r="28" spans="1:2">
      <c r="A28" s="7">
        <v>35</v>
      </c>
      <c r="B28" s="5">
        <v>178</v>
      </c>
    </row>
    <row r="29" spans="1:2">
      <c r="A29" s="7">
        <v>36</v>
      </c>
      <c r="B29" s="5">
        <v>1</v>
      </c>
    </row>
    <row r="30" spans="1:2">
      <c r="A30" s="7">
        <v>37</v>
      </c>
      <c r="B30" s="5">
        <v>2</v>
      </c>
    </row>
    <row r="31" spans="1:2">
      <c r="A31" s="7">
        <v>39</v>
      </c>
      <c r="B31" s="5">
        <v>200</v>
      </c>
    </row>
    <row r="32" spans="1:2">
      <c r="A32" s="7" t="s">
        <v>22</v>
      </c>
      <c r="B32" s="5">
        <v>2678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8"/>
  <sheetViews>
    <sheetView workbookViewId="0">
      <selection activeCell="A3" sqref="A3"/>
    </sheetView>
  </sheetViews>
  <sheetFormatPr baseColWidth="10" defaultRowHeight="14.4"/>
  <cols>
    <col min="1" max="1" width="15.109375" bestFit="1" customWidth="1"/>
    <col min="2" max="2" width="9.77734375" bestFit="1" customWidth="1"/>
  </cols>
  <sheetData>
    <row r="1" spans="1:2">
      <c r="A1" s="6" t="s">
        <v>11</v>
      </c>
      <c r="B1" s="7">
        <v>4</v>
      </c>
    </row>
    <row r="3" spans="1:2">
      <c r="A3" s="6" t="s">
        <v>21</v>
      </c>
      <c r="B3" t="s">
        <v>29</v>
      </c>
    </row>
    <row r="4" spans="1:2">
      <c r="A4" s="7">
        <v>187</v>
      </c>
      <c r="B4" s="5">
        <v>600</v>
      </c>
    </row>
    <row r="5" spans="1:2">
      <c r="A5" s="7">
        <v>222</v>
      </c>
      <c r="B5" s="5">
        <v>710</v>
      </c>
    </row>
    <row r="6" spans="1:2">
      <c r="A6" s="7">
        <v>224</v>
      </c>
      <c r="B6" s="5">
        <v>700</v>
      </c>
    </row>
    <row r="7" spans="1:2">
      <c r="A7" s="7">
        <v>225</v>
      </c>
      <c r="B7" s="5">
        <v>601</v>
      </c>
    </row>
    <row r="8" spans="1:2">
      <c r="A8" s="7" t="s">
        <v>22</v>
      </c>
      <c r="B8" s="5">
        <v>2611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D35"/>
  <sheetViews>
    <sheetView workbookViewId="0">
      <selection sqref="A1:XFD1048576"/>
    </sheetView>
  </sheetViews>
  <sheetFormatPr baseColWidth="10" defaultRowHeight="14.4"/>
  <sheetData>
    <row r="1" spans="1:4">
      <c r="A1" t="s">
        <v>2</v>
      </c>
      <c r="B1" t="s">
        <v>25</v>
      </c>
      <c r="C1" t="s">
        <v>26</v>
      </c>
      <c r="D1" t="s">
        <v>11</v>
      </c>
    </row>
    <row r="2" spans="1:4">
      <c r="A2">
        <v>1</v>
      </c>
      <c r="B2">
        <v>3</v>
      </c>
      <c r="C2">
        <v>11</v>
      </c>
      <c r="D2">
        <v>1</v>
      </c>
    </row>
    <row r="3" spans="1:4">
      <c r="A3">
        <v>2</v>
      </c>
      <c r="B3">
        <v>8</v>
      </c>
      <c r="C3">
        <v>16</v>
      </c>
      <c r="D3">
        <v>1</v>
      </c>
    </row>
    <row r="4" spans="1:4">
      <c r="A4">
        <v>3</v>
      </c>
      <c r="B4">
        <v>11</v>
      </c>
      <c r="C4">
        <v>18</v>
      </c>
      <c r="D4">
        <v>1</v>
      </c>
    </row>
    <row r="5" spans="1:4">
      <c r="A5">
        <v>4</v>
      </c>
      <c r="B5">
        <v>16</v>
      </c>
      <c r="C5">
        <v>14</v>
      </c>
      <c r="D5">
        <v>1</v>
      </c>
    </row>
    <row r="6" spans="1:4">
      <c r="A6">
        <v>5</v>
      </c>
      <c r="B6">
        <v>18</v>
      </c>
      <c r="C6">
        <v>14</v>
      </c>
      <c r="D6">
        <v>1</v>
      </c>
    </row>
    <row r="7" spans="1:4">
      <c r="A7">
        <v>6</v>
      </c>
      <c r="B7">
        <v>14</v>
      </c>
      <c r="C7">
        <v>12</v>
      </c>
      <c r="D7">
        <v>1</v>
      </c>
    </row>
    <row r="8" spans="1:4">
      <c r="A8">
        <v>7</v>
      </c>
      <c r="B8">
        <v>12</v>
      </c>
      <c r="C8">
        <v>20</v>
      </c>
      <c r="D8">
        <v>1</v>
      </c>
    </row>
    <row r="9" spans="1:4">
      <c r="A9">
        <v>8</v>
      </c>
      <c r="B9">
        <v>20</v>
      </c>
      <c r="C9">
        <v>11</v>
      </c>
      <c r="D9">
        <v>1</v>
      </c>
    </row>
    <row r="10" spans="1:4">
      <c r="A10">
        <v>9</v>
      </c>
      <c r="B10">
        <v>22</v>
      </c>
      <c r="C10">
        <v>18</v>
      </c>
      <c r="D10">
        <v>1</v>
      </c>
    </row>
    <row r="11" spans="1:4">
      <c r="A11">
        <v>10</v>
      </c>
      <c r="B11">
        <v>9</v>
      </c>
      <c r="C11">
        <v>5</v>
      </c>
      <c r="D11">
        <v>1</v>
      </c>
    </row>
    <row r="12" spans="1:4">
      <c r="A12">
        <v>11</v>
      </c>
      <c r="B12">
        <v>156</v>
      </c>
      <c r="C12">
        <v>170</v>
      </c>
      <c r="D12">
        <v>2</v>
      </c>
    </row>
    <row r="13" spans="1:4">
      <c r="A13">
        <v>12</v>
      </c>
      <c r="B13">
        <v>162</v>
      </c>
      <c r="C13">
        <v>167</v>
      </c>
      <c r="D13">
        <v>2</v>
      </c>
    </row>
    <row r="14" spans="1:4">
      <c r="A14">
        <v>13</v>
      </c>
      <c r="B14">
        <v>170</v>
      </c>
      <c r="C14">
        <v>189</v>
      </c>
      <c r="D14">
        <v>2</v>
      </c>
    </row>
    <row r="15" spans="1:4">
      <c r="A15">
        <v>14</v>
      </c>
      <c r="B15">
        <v>167</v>
      </c>
      <c r="C15">
        <v>156</v>
      </c>
      <c r="D15">
        <v>2</v>
      </c>
    </row>
    <row r="16" spans="1:4">
      <c r="A16">
        <v>15</v>
      </c>
      <c r="B16">
        <v>189</v>
      </c>
      <c r="C16">
        <v>162</v>
      </c>
      <c r="D16">
        <v>2</v>
      </c>
    </row>
    <row r="17" spans="1:4">
      <c r="A17">
        <v>16</v>
      </c>
      <c r="B17">
        <v>200</v>
      </c>
      <c r="C17">
        <v>170</v>
      </c>
      <c r="D17">
        <v>2</v>
      </c>
    </row>
    <row r="18" spans="1:4">
      <c r="A18">
        <v>17</v>
      </c>
      <c r="B18">
        <v>203</v>
      </c>
      <c r="C18">
        <v>167</v>
      </c>
      <c r="D18">
        <v>2</v>
      </c>
    </row>
    <row r="19" spans="1:4">
      <c r="A19">
        <v>18</v>
      </c>
      <c r="B19">
        <v>176</v>
      </c>
      <c r="C19">
        <v>200</v>
      </c>
      <c r="D19">
        <v>2</v>
      </c>
    </row>
    <row r="20" spans="1:4">
      <c r="A20">
        <v>19</v>
      </c>
      <c r="B20">
        <v>177</v>
      </c>
      <c r="C20">
        <v>203</v>
      </c>
      <c r="D20">
        <v>2</v>
      </c>
    </row>
    <row r="21" spans="1:4">
      <c r="A21">
        <v>20</v>
      </c>
      <c r="B21">
        <v>183</v>
      </c>
      <c r="C21">
        <v>176</v>
      </c>
      <c r="D21">
        <v>2</v>
      </c>
    </row>
    <row r="22" spans="1:4">
      <c r="A22">
        <v>21</v>
      </c>
      <c r="B22">
        <v>310</v>
      </c>
      <c r="C22">
        <v>311</v>
      </c>
      <c r="D22">
        <v>3</v>
      </c>
    </row>
    <row r="23" spans="1:4">
      <c r="A23">
        <v>22</v>
      </c>
      <c r="B23">
        <v>330</v>
      </c>
      <c r="C23">
        <v>354</v>
      </c>
      <c r="D23">
        <v>3</v>
      </c>
    </row>
    <row r="24" spans="1:4">
      <c r="A24">
        <v>23</v>
      </c>
      <c r="B24">
        <v>345</v>
      </c>
      <c r="C24">
        <v>349</v>
      </c>
      <c r="D24">
        <v>3</v>
      </c>
    </row>
    <row r="25" spans="1:4">
      <c r="A25">
        <v>24</v>
      </c>
      <c r="B25">
        <v>316</v>
      </c>
      <c r="C25">
        <v>341</v>
      </c>
      <c r="D25">
        <v>3</v>
      </c>
    </row>
    <row r="26" spans="1:4">
      <c r="A26">
        <v>25</v>
      </c>
      <c r="B26">
        <v>311</v>
      </c>
      <c r="C26">
        <v>345</v>
      </c>
      <c r="D26">
        <v>3</v>
      </c>
    </row>
    <row r="27" spans="1:4">
      <c r="A27">
        <v>26</v>
      </c>
      <c r="B27">
        <v>354</v>
      </c>
      <c r="C27">
        <v>316</v>
      </c>
      <c r="D27">
        <v>3</v>
      </c>
    </row>
    <row r="28" spans="1:4">
      <c r="A28">
        <v>27</v>
      </c>
      <c r="B28">
        <v>349</v>
      </c>
      <c r="C28">
        <v>311</v>
      </c>
      <c r="D28">
        <v>3</v>
      </c>
    </row>
    <row r="29" spans="1:4">
      <c r="A29">
        <v>28</v>
      </c>
      <c r="B29">
        <v>341</v>
      </c>
      <c r="C29">
        <v>354</v>
      </c>
      <c r="D29">
        <v>3</v>
      </c>
    </row>
    <row r="30" spans="1:4">
      <c r="A30">
        <v>29</v>
      </c>
      <c r="B30">
        <v>339</v>
      </c>
      <c r="C30">
        <v>349</v>
      </c>
      <c r="D30">
        <v>3</v>
      </c>
    </row>
    <row r="31" spans="1:4">
      <c r="A31">
        <v>30</v>
      </c>
      <c r="B31">
        <v>335</v>
      </c>
      <c r="C31">
        <v>341</v>
      </c>
      <c r="D31">
        <v>3</v>
      </c>
    </row>
    <row r="32" spans="1:4">
      <c r="A32">
        <v>31</v>
      </c>
      <c r="B32">
        <v>187</v>
      </c>
      <c r="C32">
        <v>600</v>
      </c>
      <c r="D32">
        <v>4</v>
      </c>
    </row>
    <row r="33" spans="1:4">
      <c r="A33">
        <v>32</v>
      </c>
      <c r="B33">
        <v>222</v>
      </c>
      <c r="C33">
        <v>710</v>
      </c>
      <c r="D33">
        <v>4</v>
      </c>
    </row>
    <row r="34" spans="1:4">
      <c r="A34">
        <v>33</v>
      </c>
      <c r="B34">
        <v>224</v>
      </c>
      <c r="C34">
        <v>700</v>
      </c>
      <c r="D34">
        <v>4</v>
      </c>
    </row>
    <row r="35" spans="1:4">
      <c r="A35">
        <v>34</v>
      </c>
      <c r="B35">
        <v>225</v>
      </c>
      <c r="C35">
        <v>601</v>
      </c>
      <c r="D35">
        <v>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D9"/>
  <sheetViews>
    <sheetView workbookViewId="0">
      <selection activeCell="A3" sqref="A3"/>
    </sheetView>
  </sheetViews>
  <sheetFormatPr baseColWidth="10" defaultRowHeight="14.4"/>
  <cols>
    <col min="1" max="1" width="15.109375" bestFit="1" customWidth="1"/>
    <col min="2" max="2" width="9.6640625" bestFit="1" customWidth="1"/>
    <col min="3" max="3" width="9.77734375" bestFit="1" customWidth="1"/>
    <col min="4" max="4" width="9.5546875" bestFit="1" customWidth="1"/>
  </cols>
  <sheetData>
    <row r="1" spans="1:4">
      <c r="A1" s="6" t="s">
        <v>3</v>
      </c>
      <c r="B1" s="7">
        <v>4</v>
      </c>
    </row>
    <row r="3" spans="1:4">
      <c r="B3" s="6" t="s">
        <v>28</v>
      </c>
    </row>
    <row r="4" spans="1:4">
      <c r="A4" s="6" t="s">
        <v>21</v>
      </c>
      <c r="B4" t="s">
        <v>27</v>
      </c>
      <c r="C4" t="s">
        <v>29</v>
      </c>
      <c r="D4" t="s">
        <v>31</v>
      </c>
    </row>
    <row r="5" spans="1:4">
      <c r="A5" s="7">
        <v>31</v>
      </c>
      <c r="B5" s="5">
        <v>187</v>
      </c>
      <c r="C5" s="5">
        <v>600</v>
      </c>
      <c r="D5" s="5">
        <v>339</v>
      </c>
    </row>
    <row r="6" spans="1:4">
      <c r="A6" s="7">
        <v>32</v>
      </c>
      <c r="B6" s="5">
        <v>222</v>
      </c>
      <c r="C6" s="5">
        <v>710</v>
      </c>
      <c r="D6" s="5">
        <v>335</v>
      </c>
    </row>
    <row r="7" spans="1:4">
      <c r="A7" s="7">
        <v>33</v>
      </c>
      <c r="B7" s="5">
        <v>224</v>
      </c>
      <c r="C7" s="5">
        <v>700</v>
      </c>
      <c r="D7" s="5">
        <v>600</v>
      </c>
    </row>
    <row r="8" spans="1:4">
      <c r="A8" s="7">
        <v>34</v>
      </c>
      <c r="B8" s="5">
        <v>225</v>
      </c>
      <c r="C8" s="5">
        <v>601</v>
      </c>
      <c r="D8" s="5">
        <v>710</v>
      </c>
    </row>
    <row r="9" spans="1:4">
      <c r="A9" s="7" t="s">
        <v>22</v>
      </c>
      <c r="B9" s="5">
        <v>858</v>
      </c>
      <c r="C9" s="5">
        <v>2611</v>
      </c>
      <c r="D9" s="5">
        <v>1984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E35"/>
  <sheetViews>
    <sheetView workbookViewId="0">
      <selection sqref="A1:XFD1048576"/>
    </sheetView>
  </sheetViews>
  <sheetFormatPr baseColWidth="10" defaultRowHeight="14.4"/>
  <sheetData>
    <row r="1" spans="1:5">
      <c r="A1" t="s">
        <v>2</v>
      </c>
      <c r="B1" t="s">
        <v>25</v>
      </c>
      <c r="C1" t="s">
        <v>26</v>
      </c>
      <c r="D1" t="s">
        <v>30</v>
      </c>
      <c r="E1" t="s">
        <v>3</v>
      </c>
    </row>
    <row r="2" spans="1:5">
      <c r="A2">
        <v>1</v>
      </c>
      <c r="B2">
        <v>3</v>
      </c>
      <c r="C2">
        <v>11</v>
      </c>
      <c r="D2">
        <v>18</v>
      </c>
      <c r="E2">
        <v>1</v>
      </c>
    </row>
    <row r="3" spans="1:5">
      <c r="A3">
        <v>2</v>
      </c>
      <c r="B3">
        <v>8</v>
      </c>
      <c r="C3">
        <v>16</v>
      </c>
      <c r="D3">
        <v>14</v>
      </c>
      <c r="E3">
        <v>1</v>
      </c>
    </row>
    <row r="4" spans="1:5">
      <c r="A4">
        <v>3</v>
      </c>
      <c r="B4">
        <v>11</v>
      </c>
      <c r="C4">
        <v>18</v>
      </c>
      <c r="D4">
        <v>14</v>
      </c>
      <c r="E4">
        <v>1</v>
      </c>
    </row>
    <row r="5" spans="1:5">
      <c r="A5">
        <v>4</v>
      </c>
      <c r="B5">
        <v>16</v>
      </c>
      <c r="C5">
        <v>14</v>
      </c>
      <c r="D5">
        <v>16</v>
      </c>
      <c r="E5">
        <v>1</v>
      </c>
    </row>
    <row r="6" spans="1:5">
      <c r="A6">
        <v>5</v>
      </c>
      <c r="B6">
        <v>18</v>
      </c>
      <c r="C6">
        <v>14</v>
      </c>
      <c r="D6">
        <v>18</v>
      </c>
      <c r="E6">
        <v>1</v>
      </c>
    </row>
    <row r="7" spans="1:5">
      <c r="A7">
        <v>6</v>
      </c>
      <c r="B7">
        <v>14</v>
      </c>
      <c r="C7">
        <v>12</v>
      </c>
      <c r="D7">
        <v>14</v>
      </c>
      <c r="E7">
        <v>1</v>
      </c>
    </row>
    <row r="8" spans="1:5">
      <c r="A8">
        <v>7</v>
      </c>
      <c r="B8">
        <v>12</v>
      </c>
      <c r="C8">
        <v>20</v>
      </c>
      <c r="D8">
        <v>12</v>
      </c>
      <c r="E8">
        <v>1</v>
      </c>
    </row>
    <row r="9" spans="1:5">
      <c r="A9">
        <v>8</v>
      </c>
      <c r="B9">
        <v>20</v>
      </c>
      <c r="C9">
        <v>11</v>
      </c>
      <c r="D9">
        <v>18</v>
      </c>
      <c r="E9">
        <v>1</v>
      </c>
    </row>
    <row r="10" spans="1:5">
      <c r="A10">
        <v>9</v>
      </c>
      <c r="B10">
        <v>22</v>
      </c>
      <c r="C10">
        <v>18</v>
      </c>
      <c r="D10">
        <v>14</v>
      </c>
      <c r="E10">
        <v>1</v>
      </c>
    </row>
    <row r="11" spans="1:5">
      <c r="A11">
        <v>10</v>
      </c>
      <c r="B11">
        <v>9</v>
      </c>
      <c r="C11">
        <v>5</v>
      </c>
      <c r="D11">
        <v>14</v>
      </c>
      <c r="E11">
        <v>1</v>
      </c>
    </row>
    <row r="12" spans="1:5">
      <c r="A12">
        <v>11</v>
      </c>
      <c r="B12">
        <v>156</v>
      </c>
      <c r="C12">
        <v>170</v>
      </c>
      <c r="D12">
        <v>162</v>
      </c>
      <c r="E12">
        <v>2</v>
      </c>
    </row>
    <row r="13" spans="1:5">
      <c r="A13">
        <v>12</v>
      </c>
      <c r="B13">
        <v>162</v>
      </c>
      <c r="C13">
        <v>167</v>
      </c>
      <c r="D13">
        <v>170</v>
      </c>
      <c r="E13">
        <v>2</v>
      </c>
    </row>
    <row r="14" spans="1:5">
      <c r="A14">
        <v>13</v>
      </c>
      <c r="B14">
        <v>170</v>
      </c>
      <c r="C14">
        <v>189</v>
      </c>
      <c r="D14">
        <v>167</v>
      </c>
      <c r="E14">
        <v>2</v>
      </c>
    </row>
    <row r="15" spans="1:5">
      <c r="A15">
        <v>14</v>
      </c>
      <c r="B15">
        <v>167</v>
      </c>
      <c r="C15">
        <v>156</v>
      </c>
      <c r="D15">
        <v>189</v>
      </c>
      <c r="E15">
        <v>2</v>
      </c>
    </row>
    <row r="16" spans="1:5">
      <c r="A16">
        <v>15</v>
      </c>
      <c r="B16">
        <v>189</v>
      </c>
      <c r="C16">
        <v>162</v>
      </c>
      <c r="D16">
        <v>170</v>
      </c>
      <c r="E16">
        <v>2</v>
      </c>
    </row>
    <row r="17" spans="1:5">
      <c r="A17">
        <v>16</v>
      </c>
      <c r="B17">
        <v>200</v>
      </c>
      <c r="C17">
        <v>170</v>
      </c>
      <c r="D17">
        <v>167</v>
      </c>
      <c r="E17">
        <v>2</v>
      </c>
    </row>
    <row r="18" spans="1:5">
      <c r="A18">
        <v>17</v>
      </c>
      <c r="B18">
        <v>203</v>
      </c>
      <c r="C18">
        <v>167</v>
      </c>
      <c r="D18">
        <v>200</v>
      </c>
      <c r="E18">
        <v>2</v>
      </c>
    </row>
    <row r="19" spans="1:5">
      <c r="A19">
        <v>18</v>
      </c>
      <c r="B19">
        <v>176</v>
      </c>
      <c r="C19">
        <v>200</v>
      </c>
      <c r="D19">
        <v>200</v>
      </c>
      <c r="E19">
        <v>2</v>
      </c>
    </row>
    <row r="20" spans="1:5">
      <c r="A20">
        <v>19</v>
      </c>
      <c r="B20">
        <v>177</v>
      </c>
      <c r="C20">
        <v>203</v>
      </c>
      <c r="D20">
        <v>203</v>
      </c>
      <c r="E20">
        <v>2</v>
      </c>
    </row>
    <row r="21" spans="1:5">
      <c r="A21">
        <v>20</v>
      </c>
      <c r="B21">
        <v>183</v>
      </c>
      <c r="C21">
        <v>176</v>
      </c>
      <c r="D21">
        <v>176</v>
      </c>
      <c r="E21">
        <v>2</v>
      </c>
    </row>
    <row r="22" spans="1:5">
      <c r="A22">
        <v>21</v>
      </c>
      <c r="B22">
        <v>310</v>
      </c>
      <c r="C22">
        <v>311</v>
      </c>
      <c r="D22">
        <v>349</v>
      </c>
      <c r="E22">
        <v>3</v>
      </c>
    </row>
    <row r="23" spans="1:5">
      <c r="A23">
        <v>22</v>
      </c>
      <c r="B23">
        <v>330</v>
      </c>
      <c r="C23">
        <v>354</v>
      </c>
      <c r="D23">
        <v>341</v>
      </c>
      <c r="E23">
        <v>3</v>
      </c>
    </row>
    <row r="24" spans="1:5">
      <c r="A24">
        <v>23</v>
      </c>
      <c r="B24">
        <v>345</v>
      </c>
      <c r="C24">
        <v>349</v>
      </c>
      <c r="D24">
        <v>345</v>
      </c>
      <c r="E24">
        <v>3</v>
      </c>
    </row>
    <row r="25" spans="1:5">
      <c r="A25">
        <v>24</v>
      </c>
      <c r="B25">
        <v>316</v>
      </c>
      <c r="C25">
        <v>341</v>
      </c>
      <c r="D25">
        <v>316</v>
      </c>
      <c r="E25">
        <v>3</v>
      </c>
    </row>
    <row r="26" spans="1:5">
      <c r="A26">
        <v>25</v>
      </c>
      <c r="B26">
        <v>311</v>
      </c>
      <c r="C26">
        <v>345</v>
      </c>
      <c r="D26">
        <v>316</v>
      </c>
      <c r="E26">
        <v>3</v>
      </c>
    </row>
    <row r="27" spans="1:5">
      <c r="A27">
        <v>26</v>
      </c>
      <c r="B27">
        <v>354</v>
      </c>
      <c r="C27">
        <v>316</v>
      </c>
      <c r="D27">
        <v>311</v>
      </c>
      <c r="E27">
        <v>3</v>
      </c>
    </row>
    <row r="28" spans="1:5">
      <c r="A28">
        <v>27</v>
      </c>
      <c r="B28">
        <v>349</v>
      </c>
      <c r="C28">
        <v>311</v>
      </c>
      <c r="D28">
        <v>354</v>
      </c>
      <c r="E28">
        <v>3</v>
      </c>
    </row>
    <row r="29" spans="1:5">
      <c r="A29">
        <v>28</v>
      </c>
      <c r="B29">
        <v>341</v>
      </c>
      <c r="C29">
        <v>354</v>
      </c>
      <c r="D29">
        <v>349</v>
      </c>
      <c r="E29">
        <v>3</v>
      </c>
    </row>
    <row r="30" spans="1:5">
      <c r="A30">
        <v>29</v>
      </c>
      <c r="B30">
        <v>339</v>
      </c>
      <c r="C30">
        <v>349</v>
      </c>
      <c r="D30">
        <v>349</v>
      </c>
      <c r="E30">
        <v>3</v>
      </c>
    </row>
    <row r="31" spans="1:5">
      <c r="A31">
        <v>30</v>
      </c>
      <c r="B31">
        <v>335</v>
      </c>
      <c r="C31">
        <v>341</v>
      </c>
      <c r="D31">
        <v>341</v>
      </c>
      <c r="E31">
        <v>3</v>
      </c>
    </row>
    <row r="32" spans="1:5">
      <c r="A32">
        <v>31</v>
      </c>
      <c r="B32">
        <v>187</v>
      </c>
      <c r="C32">
        <v>600</v>
      </c>
      <c r="D32">
        <v>339</v>
      </c>
      <c r="E32">
        <v>4</v>
      </c>
    </row>
    <row r="33" spans="1:5">
      <c r="A33">
        <v>32</v>
      </c>
      <c r="B33">
        <v>222</v>
      </c>
      <c r="C33">
        <v>710</v>
      </c>
      <c r="D33">
        <v>335</v>
      </c>
      <c r="E33">
        <v>4</v>
      </c>
    </row>
    <row r="34" spans="1:5">
      <c r="A34">
        <v>33</v>
      </c>
      <c r="B34">
        <v>224</v>
      </c>
      <c r="C34">
        <v>700</v>
      </c>
      <c r="D34">
        <v>600</v>
      </c>
      <c r="E34">
        <v>4</v>
      </c>
    </row>
    <row r="35" spans="1:5">
      <c r="A35">
        <v>34</v>
      </c>
      <c r="B35">
        <v>225</v>
      </c>
      <c r="C35">
        <v>601</v>
      </c>
      <c r="D35">
        <v>710</v>
      </c>
      <c r="E35"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E9"/>
  <sheetViews>
    <sheetView tabSelected="1" workbookViewId="0">
      <selection activeCell="D10" sqref="D10"/>
    </sheetView>
  </sheetViews>
  <sheetFormatPr baseColWidth="10" defaultRowHeight="14.4"/>
  <cols>
    <col min="1" max="1" width="15.109375" bestFit="1" customWidth="1"/>
    <col min="2" max="2" width="9.6640625" bestFit="1" customWidth="1"/>
    <col min="3" max="3" width="9.77734375" bestFit="1" customWidth="1"/>
    <col min="4" max="4" width="9.5546875" bestFit="1" customWidth="1"/>
    <col min="5" max="5" width="10.21875" bestFit="1" customWidth="1"/>
  </cols>
  <sheetData>
    <row r="1" spans="1:5">
      <c r="A1" s="6" t="s">
        <v>3</v>
      </c>
      <c r="B1" s="7">
        <v>4</v>
      </c>
    </row>
    <row r="3" spans="1:5">
      <c r="B3" s="6" t="s">
        <v>28</v>
      </c>
    </row>
    <row r="4" spans="1:5">
      <c r="A4" s="6" t="s">
        <v>21</v>
      </c>
      <c r="B4" t="s">
        <v>27</v>
      </c>
      <c r="C4" t="s">
        <v>29</v>
      </c>
      <c r="D4" t="s">
        <v>31</v>
      </c>
      <c r="E4" t="s">
        <v>33</v>
      </c>
    </row>
    <row r="5" spans="1:5">
      <c r="A5" s="7">
        <v>31</v>
      </c>
      <c r="B5" s="5">
        <v>187</v>
      </c>
      <c r="C5" s="5">
        <v>600</v>
      </c>
      <c r="D5" s="5">
        <v>339</v>
      </c>
      <c r="E5" s="5">
        <v>354</v>
      </c>
    </row>
    <row r="6" spans="1:5">
      <c r="A6" s="7">
        <v>32</v>
      </c>
      <c r="B6" s="5">
        <v>222</v>
      </c>
      <c r="C6" s="5">
        <v>710</v>
      </c>
      <c r="D6" s="5">
        <v>335</v>
      </c>
      <c r="E6" s="5">
        <v>349</v>
      </c>
    </row>
    <row r="7" spans="1:5">
      <c r="A7" s="7">
        <v>33</v>
      </c>
      <c r="B7" s="5">
        <v>224</v>
      </c>
      <c r="C7" s="5">
        <v>700</v>
      </c>
      <c r="D7" s="5">
        <v>600</v>
      </c>
      <c r="E7" s="5">
        <v>354</v>
      </c>
    </row>
    <row r="8" spans="1:5">
      <c r="A8" s="7">
        <v>34</v>
      </c>
      <c r="B8" s="5">
        <v>225</v>
      </c>
      <c r="C8" s="5">
        <v>601</v>
      </c>
      <c r="D8" s="5">
        <v>710</v>
      </c>
      <c r="E8" s="5">
        <v>349</v>
      </c>
    </row>
    <row r="9" spans="1:5">
      <c r="A9" s="7" t="s">
        <v>22</v>
      </c>
      <c r="B9" s="5">
        <v>858</v>
      </c>
      <c r="C9" s="5">
        <v>2611</v>
      </c>
      <c r="D9" s="5">
        <v>1984</v>
      </c>
      <c r="E9" s="5">
        <v>1406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F35"/>
  <sheetViews>
    <sheetView workbookViewId="0">
      <selection sqref="A1:XFD1048576"/>
    </sheetView>
  </sheetViews>
  <sheetFormatPr baseColWidth="10" defaultRowHeight="14.4"/>
  <sheetData>
    <row r="1" spans="1:6">
      <c r="A1" t="s">
        <v>2</v>
      </c>
      <c r="B1" t="s">
        <v>25</v>
      </c>
      <c r="C1" t="s">
        <v>26</v>
      </c>
      <c r="D1" t="s">
        <v>30</v>
      </c>
      <c r="E1" t="s">
        <v>32</v>
      </c>
      <c r="F1" t="s">
        <v>3</v>
      </c>
    </row>
    <row r="2" spans="1:6">
      <c r="A2">
        <v>1</v>
      </c>
      <c r="B2">
        <v>3</v>
      </c>
      <c r="C2">
        <v>11</v>
      </c>
      <c r="D2">
        <v>18</v>
      </c>
      <c r="E2">
        <v>14</v>
      </c>
      <c r="F2">
        <v>1</v>
      </c>
    </row>
    <row r="3" spans="1:6">
      <c r="A3">
        <v>2</v>
      </c>
      <c r="B3">
        <v>8</v>
      </c>
      <c r="C3">
        <v>16</v>
      </c>
      <c r="D3">
        <v>14</v>
      </c>
      <c r="E3">
        <v>16</v>
      </c>
      <c r="F3">
        <v>1</v>
      </c>
    </row>
    <row r="4" spans="1:6">
      <c r="A4">
        <v>3</v>
      </c>
      <c r="B4">
        <v>11</v>
      </c>
      <c r="C4">
        <v>18</v>
      </c>
      <c r="D4">
        <v>14</v>
      </c>
      <c r="E4">
        <v>18</v>
      </c>
      <c r="F4">
        <v>1</v>
      </c>
    </row>
    <row r="5" spans="1:6">
      <c r="A5">
        <v>4</v>
      </c>
      <c r="B5">
        <v>16</v>
      </c>
      <c r="C5">
        <v>14</v>
      </c>
      <c r="D5">
        <v>16</v>
      </c>
      <c r="E5">
        <v>14</v>
      </c>
      <c r="F5">
        <v>1</v>
      </c>
    </row>
    <row r="6" spans="1:6">
      <c r="A6">
        <v>5</v>
      </c>
      <c r="B6">
        <v>18</v>
      </c>
      <c r="C6">
        <v>14</v>
      </c>
      <c r="D6">
        <v>18</v>
      </c>
      <c r="E6">
        <v>12</v>
      </c>
      <c r="F6">
        <v>1</v>
      </c>
    </row>
    <row r="7" spans="1:6">
      <c r="A7">
        <v>6</v>
      </c>
      <c r="B7">
        <v>14</v>
      </c>
      <c r="C7">
        <v>12</v>
      </c>
      <c r="D7">
        <v>14</v>
      </c>
      <c r="E7">
        <v>20</v>
      </c>
      <c r="F7">
        <v>1</v>
      </c>
    </row>
    <row r="8" spans="1:6">
      <c r="A8">
        <v>7</v>
      </c>
      <c r="B8">
        <v>12</v>
      </c>
      <c r="C8">
        <v>20</v>
      </c>
      <c r="D8">
        <v>12</v>
      </c>
      <c r="E8">
        <v>11</v>
      </c>
      <c r="F8">
        <v>1</v>
      </c>
    </row>
    <row r="9" spans="1:6">
      <c r="A9">
        <v>8</v>
      </c>
      <c r="B9">
        <v>20</v>
      </c>
      <c r="C9">
        <v>11</v>
      </c>
      <c r="D9">
        <v>18</v>
      </c>
      <c r="E9">
        <v>18</v>
      </c>
      <c r="F9">
        <v>1</v>
      </c>
    </row>
    <row r="10" spans="1:6">
      <c r="A10">
        <v>9</v>
      </c>
      <c r="B10">
        <v>22</v>
      </c>
      <c r="C10">
        <v>18</v>
      </c>
      <c r="D10">
        <v>14</v>
      </c>
      <c r="E10">
        <v>12</v>
      </c>
      <c r="F10">
        <v>1</v>
      </c>
    </row>
    <row r="11" spans="1:6">
      <c r="A11">
        <v>10</v>
      </c>
      <c r="B11">
        <v>9</v>
      </c>
      <c r="C11">
        <v>5</v>
      </c>
      <c r="D11">
        <v>14</v>
      </c>
      <c r="E11">
        <v>20</v>
      </c>
      <c r="F11">
        <v>1</v>
      </c>
    </row>
    <row r="12" spans="1:6">
      <c r="A12">
        <v>11</v>
      </c>
      <c r="B12">
        <v>156</v>
      </c>
      <c r="C12">
        <v>170</v>
      </c>
      <c r="D12">
        <v>162</v>
      </c>
      <c r="E12">
        <v>170</v>
      </c>
      <c r="F12">
        <v>2</v>
      </c>
    </row>
    <row r="13" spans="1:6">
      <c r="A13">
        <v>12</v>
      </c>
      <c r="B13">
        <v>162</v>
      </c>
      <c r="C13">
        <v>167</v>
      </c>
      <c r="D13">
        <v>170</v>
      </c>
      <c r="E13">
        <v>167</v>
      </c>
      <c r="F13">
        <v>2</v>
      </c>
    </row>
    <row r="14" spans="1:6">
      <c r="A14">
        <v>13</v>
      </c>
      <c r="B14">
        <v>170</v>
      </c>
      <c r="C14">
        <v>189</v>
      </c>
      <c r="D14">
        <v>167</v>
      </c>
      <c r="E14">
        <v>200</v>
      </c>
      <c r="F14">
        <v>2</v>
      </c>
    </row>
    <row r="15" spans="1:6">
      <c r="A15">
        <v>14</v>
      </c>
      <c r="B15">
        <v>167</v>
      </c>
      <c r="C15">
        <v>156</v>
      </c>
      <c r="D15">
        <v>189</v>
      </c>
      <c r="E15">
        <v>200</v>
      </c>
      <c r="F15">
        <v>2</v>
      </c>
    </row>
    <row r="16" spans="1:6">
      <c r="A16">
        <v>15</v>
      </c>
      <c r="B16">
        <v>189</v>
      </c>
      <c r="C16">
        <v>162</v>
      </c>
      <c r="D16">
        <v>170</v>
      </c>
      <c r="E16">
        <v>203</v>
      </c>
      <c r="F16">
        <v>2</v>
      </c>
    </row>
    <row r="17" spans="1:6">
      <c r="A17">
        <v>16</v>
      </c>
      <c r="B17">
        <v>200</v>
      </c>
      <c r="C17">
        <v>170</v>
      </c>
      <c r="D17">
        <v>167</v>
      </c>
      <c r="E17">
        <v>156</v>
      </c>
      <c r="F17">
        <v>2</v>
      </c>
    </row>
    <row r="18" spans="1:6">
      <c r="A18">
        <v>17</v>
      </c>
      <c r="B18">
        <v>203</v>
      </c>
      <c r="C18">
        <v>167</v>
      </c>
      <c r="D18">
        <v>200</v>
      </c>
      <c r="E18">
        <v>162</v>
      </c>
      <c r="F18">
        <v>2</v>
      </c>
    </row>
    <row r="19" spans="1:6">
      <c r="A19">
        <v>18</v>
      </c>
      <c r="B19">
        <v>176</v>
      </c>
      <c r="C19">
        <v>200</v>
      </c>
      <c r="D19">
        <v>200</v>
      </c>
      <c r="E19">
        <v>170</v>
      </c>
      <c r="F19">
        <v>2</v>
      </c>
    </row>
    <row r="20" spans="1:6">
      <c r="A20">
        <v>19</v>
      </c>
      <c r="B20">
        <v>177</v>
      </c>
      <c r="C20">
        <v>203</v>
      </c>
      <c r="D20">
        <v>203</v>
      </c>
      <c r="E20">
        <v>167</v>
      </c>
      <c r="F20">
        <v>2</v>
      </c>
    </row>
    <row r="21" spans="1:6">
      <c r="A21">
        <v>20</v>
      </c>
      <c r="B21">
        <v>183</v>
      </c>
      <c r="C21">
        <v>176</v>
      </c>
      <c r="D21">
        <v>176</v>
      </c>
      <c r="E21">
        <v>189</v>
      </c>
      <c r="F21">
        <v>2</v>
      </c>
    </row>
    <row r="22" spans="1:6">
      <c r="A22">
        <v>21</v>
      </c>
      <c r="B22">
        <v>310</v>
      </c>
      <c r="C22">
        <v>311</v>
      </c>
      <c r="D22">
        <v>349</v>
      </c>
      <c r="E22">
        <v>311</v>
      </c>
      <c r="F22">
        <v>3</v>
      </c>
    </row>
    <row r="23" spans="1:6">
      <c r="A23">
        <v>22</v>
      </c>
      <c r="B23">
        <v>330</v>
      </c>
      <c r="C23">
        <v>354</v>
      </c>
      <c r="D23">
        <v>341</v>
      </c>
      <c r="E23">
        <v>316</v>
      </c>
      <c r="F23">
        <v>3</v>
      </c>
    </row>
    <row r="24" spans="1:6">
      <c r="A24">
        <v>23</v>
      </c>
      <c r="B24">
        <v>345</v>
      </c>
      <c r="C24">
        <v>349</v>
      </c>
      <c r="D24">
        <v>345</v>
      </c>
      <c r="E24">
        <v>311</v>
      </c>
      <c r="F24">
        <v>3</v>
      </c>
    </row>
    <row r="25" spans="1:6">
      <c r="A25">
        <v>24</v>
      </c>
      <c r="B25">
        <v>316</v>
      </c>
      <c r="C25">
        <v>341</v>
      </c>
      <c r="D25">
        <v>316</v>
      </c>
      <c r="E25">
        <v>354</v>
      </c>
      <c r="F25">
        <v>3</v>
      </c>
    </row>
    <row r="26" spans="1:6">
      <c r="A26">
        <v>25</v>
      </c>
      <c r="B26">
        <v>311</v>
      </c>
      <c r="C26">
        <v>345</v>
      </c>
      <c r="D26">
        <v>316</v>
      </c>
      <c r="E26">
        <v>349</v>
      </c>
      <c r="F26">
        <v>3</v>
      </c>
    </row>
    <row r="27" spans="1:6">
      <c r="A27">
        <v>26</v>
      </c>
      <c r="B27">
        <v>354</v>
      </c>
      <c r="C27">
        <v>316</v>
      </c>
      <c r="D27">
        <v>311</v>
      </c>
      <c r="E27">
        <v>354</v>
      </c>
      <c r="F27">
        <v>3</v>
      </c>
    </row>
    <row r="28" spans="1:6">
      <c r="A28">
        <v>27</v>
      </c>
      <c r="B28">
        <v>349</v>
      </c>
      <c r="C28">
        <v>311</v>
      </c>
      <c r="D28">
        <v>354</v>
      </c>
      <c r="E28">
        <v>349</v>
      </c>
      <c r="F28">
        <v>3</v>
      </c>
    </row>
    <row r="29" spans="1:6">
      <c r="A29">
        <v>28</v>
      </c>
      <c r="B29">
        <v>341</v>
      </c>
      <c r="C29">
        <v>354</v>
      </c>
      <c r="D29">
        <v>349</v>
      </c>
      <c r="E29">
        <v>341</v>
      </c>
      <c r="F29">
        <v>3</v>
      </c>
    </row>
    <row r="30" spans="1:6">
      <c r="A30">
        <v>29</v>
      </c>
      <c r="B30">
        <v>339</v>
      </c>
      <c r="C30">
        <v>349</v>
      </c>
      <c r="D30">
        <v>349</v>
      </c>
      <c r="E30">
        <v>600</v>
      </c>
      <c r="F30">
        <v>3</v>
      </c>
    </row>
    <row r="31" spans="1:6">
      <c r="A31">
        <v>30</v>
      </c>
      <c r="B31">
        <v>335</v>
      </c>
      <c r="C31">
        <v>341</v>
      </c>
      <c r="D31">
        <v>341</v>
      </c>
      <c r="E31">
        <v>311</v>
      </c>
      <c r="F31">
        <v>3</v>
      </c>
    </row>
    <row r="32" spans="1:6">
      <c r="A32">
        <v>31</v>
      </c>
      <c r="B32">
        <v>187</v>
      </c>
      <c r="C32">
        <v>600</v>
      </c>
      <c r="D32">
        <v>339</v>
      </c>
      <c r="E32">
        <v>354</v>
      </c>
      <c r="F32">
        <v>4</v>
      </c>
    </row>
    <row r="33" spans="1:6">
      <c r="A33">
        <v>32</v>
      </c>
      <c r="B33">
        <v>222</v>
      </c>
      <c r="C33">
        <v>710</v>
      </c>
      <c r="D33">
        <v>335</v>
      </c>
      <c r="E33">
        <v>349</v>
      </c>
      <c r="F33">
        <v>4</v>
      </c>
    </row>
    <row r="34" spans="1:6">
      <c r="A34">
        <v>33</v>
      </c>
      <c r="B34">
        <v>224</v>
      </c>
      <c r="C34">
        <v>700</v>
      </c>
      <c r="D34">
        <v>600</v>
      </c>
      <c r="E34">
        <v>354</v>
      </c>
      <c r="F34">
        <v>4</v>
      </c>
    </row>
    <row r="35" spans="1:6">
      <c r="A35">
        <v>34</v>
      </c>
      <c r="B35">
        <v>225</v>
      </c>
      <c r="C35">
        <v>601</v>
      </c>
      <c r="D35">
        <v>710</v>
      </c>
      <c r="E35">
        <v>349</v>
      </c>
      <c r="F35">
        <v>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E201"/>
  <sheetViews>
    <sheetView workbookViewId="0">
      <selection activeCell="K10" sqref="K10"/>
    </sheetView>
  </sheetViews>
  <sheetFormatPr baseColWidth="10" defaultColWidth="11.5546875" defaultRowHeight="14.4"/>
  <cols>
    <col min="1" max="1" width="4" bestFit="1" customWidth="1"/>
    <col min="2" max="2" width="6" bestFit="1" customWidth="1"/>
    <col min="3" max="3" width="5.6640625" bestFit="1" customWidth="1"/>
    <col min="4" max="4" width="10.21875" bestFit="1" customWidth="1"/>
    <col min="5" max="5" width="5.109375" bestFit="1" customWidth="1"/>
  </cols>
  <sheetData>
    <row r="1" spans="1:5">
      <c r="B1" t="s">
        <v>4</v>
      </c>
      <c r="C1" t="s">
        <v>5</v>
      </c>
      <c r="D1" t="s">
        <v>6</v>
      </c>
      <c r="E1" t="s">
        <v>7</v>
      </c>
    </row>
    <row r="2" spans="1:5">
      <c r="A2">
        <v>1</v>
      </c>
      <c r="B2">
        <v>230.1</v>
      </c>
      <c r="C2">
        <v>37.799999999999997</v>
      </c>
      <c r="D2">
        <v>69.2</v>
      </c>
      <c r="E2">
        <v>22.1</v>
      </c>
    </row>
    <row r="3" spans="1:5">
      <c r="A3">
        <v>2</v>
      </c>
      <c r="B3">
        <v>44.5</v>
      </c>
      <c r="C3">
        <v>39.299999999999997</v>
      </c>
      <c r="D3">
        <v>45.1</v>
      </c>
      <c r="E3">
        <v>10.4</v>
      </c>
    </row>
    <row r="4" spans="1:5">
      <c r="A4">
        <v>3</v>
      </c>
      <c r="B4">
        <v>17.2</v>
      </c>
      <c r="C4">
        <v>45.9</v>
      </c>
      <c r="D4">
        <v>69.3</v>
      </c>
      <c r="E4">
        <v>9.3000000000000007</v>
      </c>
    </row>
    <row r="5" spans="1:5">
      <c r="A5">
        <v>4</v>
      </c>
      <c r="B5">
        <v>151.5</v>
      </c>
      <c r="C5">
        <v>41.3</v>
      </c>
      <c r="D5">
        <v>58.5</v>
      </c>
      <c r="E5">
        <v>18.5</v>
      </c>
    </row>
    <row r="6" spans="1:5">
      <c r="A6">
        <v>5</v>
      </c>
      <c r="B6">
        <v>180.8</v>
      </c>
      <c r="C6">
        <v>10.8</v>
      </c>
      <c r="D6">
        <v>58.4</v>
      </c>
      <c r="E6">
        <v>12.9</v>
      </c>
    </row>
    <row r="7" spans="1:5">
      <c r="A7">
        <v>6</v>
      </c>
      <c r="B7">
        <v>8.6999999999999993</v>
      </c>
      <c r="C7">
        <v>48.9</v>
      </c>
      <c r="D7">
        <v>75</v>
      </c>
      <c r="E7">
        <v>7.2</v>
      </c>
    </row>
    <row r="8" spans="1:5">
      <c r="A8">
        <v>7</v>
      </c>
      <c r="B8">
        <v>57.5</v>
      </c>
      <c r="C8">
        <v>32.799999999999997</v>
      </c>
      <c r="D8">
        <v>23.5</v>
      </c>
      <c r="E8">
        <v>11.8</v>
      </c>
    </row>
    <row r="9" spans="1:5">
      <c r="A9">
        <v>8</v>
      </c>
      <c r="B9">
        <v>120.2</v>
      </c>
      <c r="C9">
        <v>19.600000000000001</v>
      </c>
      <c r="D9">
        <v>11.6</v>
      </c>
      <c r="E9">
        <v>13.2</v>
      </c>
    </row>
    <row r="10" spans="1:5">
      <c r="A10">
        <v>9</v>
      </c>
      <c r="B10">
        <v>8.6</v>
      </c>
      <c r="C10">
        <v>2.1</v>
      </c>
      <c r="D10">
        <v>1</v>
      </c>
      <c r="E10">
        <v>4.8</v>
      </c>
    </row>
    <row r="11" spans="1:5">
      <c r="A11">
        <v>10</v>
      </c>
      <c r="B11">
        <v>199.8</v>
      </c>
      <c r="C11">
        <v>2.6</v>
      </c>
      <c r="D11">
        <v>21.2</v>
      </c>
      <c r="E11">
        <v>10.6</v>
      </c>
    </row>
    <row r="12" spans="1:5">
      <c r="A12">
        <v>11</v>
      </c>
      <c r="B12">
        <v>66.099999999999994</v>
      </c>
      <c r="C12">
        <v>5.8</v>
      </c>
      <c r="D12">
        <v>24.2</v>
      </c>
      <c r="E12">
        <v>8.6</v>
      </c>
    </row>
    <row r="13" spans="1:5">
      <c r="A13">
        <v>12</v>
      </c>
      <c r="B13">
        <v>214.7</v>
      </c>
      <c r="C13">
        <v>24</v>
      </c>
      <c r="D13">
        <v>4</v>
      </c>
      <c r="E13">
        <v>17.399999999999999</v>
      </c>
    </row>
    <row r="14" spans="1:5">
      <c r="A14">
        <v>13</v>
      </c>
      <c r="B14">
        <v>23.8</v>
      </c>
      <c r="C14">
        <v>35.1</v>
      </c>
      <c r="D14">
        <v>65.900000000000006</v>
      </c>
      <c r="E14">
        <v>9.1999999999999993</v>
      </c>
    </row>
    <row r="15" spans="1:5">
      <c r="A15">
        <v>14</v>
      </c>
      <c r="B15">
        <v>97.5</v>
      </c>
      <c r="C15">
        <v>7.6</v>
      </c>
      <c r="D15">
        <v>7.2</v>
      </c>
      <c r="E15">
        <v>9.6999999999999993</v>
      </c>
    </row>
    <row r="16" spans="1:5">
      <c r="A16">
        <v>15</v>
      </c>
      <c r="B16">
        <v>204.1</v>
      </c>
      <c r="C16">
        <v>32.9</v>
      </c>
      <c r="D16">
        <v>46</v>
      </c>
      <c r="E16">
        <v>19</v>
      </c>
    </row>
    <row r="17" spans="1:5">
      <c r="A17">
        <v>16</v>
      </c>
      <c r="B17">
        <v>195.4</v>
      </c>
      <c r="C17">
        <v>47.7</v>
      </c>
      <c r="D17">
        <v>52.9</v>
      </c>
      <c r="E17">
        <v>22.4</v>
      </c>
    </row>
    <row r="18" spans="1:5">
      <c r="A18">
        <v>17</v>
      </c>
      <c r="B18">
        <v>67.8</v>
      </c>
      <c r="C18">
        <v>36.6</v>
      </c>
      <c r="D18">
        <v>114</v>
      </c>
      <c r="E18">
        <v>12.5</v>
      </c>
    </row>
    <row r="19" spans="1:5">
      <c r="A19">
        <v>18</v>
      </c>
      <c r="B19">
        <v>281.39999999999998</v>
      </c>
      <c r="C19">
        <v>39.6</v>
      </c>
      <c r="D19">
        <v>55.8</v>
      </c>
      <c r="E19">
        <v>24.4</v>
      </c>
    </row>
    <row r="20" spans="1:5">
      <c r="A20">
        <v>19</v>
      </c>
      <c r="B20">
        <v>69.2</v>
      </c>
      <c r="C20">
        <v>20.5</v>
      </c>
      <c r="D20">
        <v>18.3</v>
      </c>
      <c r="E20">
        <v>11.3</v>
      </c>
    </row>
    <row r="21" spans="1:5">
      <c r="A21">
        <v>20</v>
      </c>
      <c r="B21">
        <v>147.30000000000001</v>
      </c>
      <c r="C21">
        <v>23.9</v>
      </c>
      <c r="D21">
        <v>19.100000000000001</v>
      </c>
      <c r="E21">
        <v>14.6</v>
      </c>
    </row>
    <row r="22" spans="1:5">
      <c r="A22">
        <v>21</v>
      </c>
      <c r="B22">
        <v>218.4</v>
      </c>
      <c r="C22">
        <v>27.7</v>
      </c>
      <c r="D22">
        <v>53.4</v>
      </c>
      <c r="E22">
        <v>18</v>
      </c>
    </row>
    <row r="23" spans="1:5">
      <c r="A23">
        <v>22</v>
      </c>
      <c r="B23">
        <v>237.4</v>
      </c>
      <c r="C23">
        <v>5.0999999999999996</v>
      </c>
      <c r="D23">
        <v>23.5</v>
      </c>
      <c r="E23">
        <v>12.5</v>
      </c>
    </row>
    <row r="24" spans="1:5">
      <c r="A24">
        <v>23</v>
      </c>
      <c r="B24">
        <v>13.2</v>
      </c>
      <c r="C24">
        <v>15.9</v>
      </c>
      <c r="D24">
        <v>49.6</v>
      </c>
      <c r="E24">
        <v>5.6</v>
      </c>
    </row>
    <row r="25" spans="1:5">
      <c r="A25">
        <v>24</v>
      </c>
      <c r="B25">
        <v>228.3</v>
      </c>
      <c r="C25">
        <v>16.899999999999999</v>
      </c>
      <c r="D25">
        <v>26.2</v>
      </c>
      <c r="E25">
        <v>15.5</v>
      </c>
    </row>
    <row r="26" spans="1:5">
      <c r="A26">
        <v>25</v>
      </c>
      <c r="B26">
        <v>62.3</v>
      </c>
      <c r="C26">
        <v>12.6</v>
      </c>
      <c r="D26">
        <v>18.3</v>
      </c>
      <c r="E26">
        <v>9.6999999999999993</v>
      </c>
    </row>
    <row r="27" spans="1:5">
      <c r="A27">
        <v>26</v>
      </c>
      <c r="B27">
        <v>262.89999999999998</v>
      </c>
      <c r="C27">
        <v>3.5</v>
      </c>
      <c r="D27">
        <v>19.5</v>
      </c>
      <c r="E27">
        <v>12</v>
      </c>
    </row>
    <row r="28" spans="1:5">
      <c r="A28">
        <v>27</v>
      </c>
      <c r="B28">
        <v>142.9</v>
      </c>
      <c r="C28">
        <v>29.3</v>
      </c>
      <c r="D28">
        <v>12.6</v>
      </c>
      <c r="E28">
        <v>15</v>
      </c>
    </row>
    <row r="29" spans="1:5">
      <c r="A29">
        <v>28</v>
      </c>
      <c r="B29">
        <v>240.1</v>
      </c>
      <c r="C29">
        <v>16.7</v>
      </c>
      <c r="D29">
        <v>22.9</v>
      </c>
      <c r="E29">
        <v>15.9</v>
      </c>
    </row>
    <row r="30" spans="1:5">
      <c r="A30">
        <v>29</v>
      </c>
      <c r="B30">
        <v>248.8</v>
      </c>
      <c r="C30">
        <v>27.1</v>
      </c>
      <c r="D30">
        <v>22.9</v>
      </c>
      <c r="E30">
        <v>18.899999999999999</v>
      </c>
    </row>
    <row r="31" spans="1:5">
      <c r="A31">
        <v>30</v>
      </c>
      <c r="B31">
        <v>70.599999999999994</v>
      </c>
      <c r="C31">
        <v>16</v>
      </c>
      <c r="D31">
        <v>40.799999999999997</v>
      </c>
      <c r="E31">
        <v>10.5</v>
      </c>
    </row>
    <row r="32" spans="1:5">
      <c r="A32">
        <v>31</v>
      </c>
      <c r="B32">
        <v>292.89999999999998</v>
      </c>
      <c r="C32">
        <v>28.3</v>
      </c>
      <c r="D32">
        <v>43.2</v>
      </c>
      <c r="E32">
        <v>21.4</v>
      </c>
    </row>
    <row r="33" spans="1:5">
      <c r="A33">
        <v>32</v>
      </c>
      <c r="B33">
        <v>112.9</v>
      </c>
      <c r="C33">
        <v>17.399999999999999</v>
      </c>
      <c r="D33">
        <v>38.6</v>
      </c>
      <c r="E33">
        <v>11.9</v>
      </c>
    </row>
    <row r="34" spans="1:5">
      <c r="A34">
        <v>33</v>
      </c>
      <c r="B34">
        <v>97.2</v>
      </c>
      <c r="C34">
        <v>1.5</v>
      </c>
      <c r="D34">
        <v>30</v>
      </c>
      <c r="E34">
        <v>9.6</v>
      </c>
    </row>
    <row r="35" spans="1:5">
      <c r="A35">
        <v>34</v>
      </c>
      <c r="B35">
        <v>265.60000000000002</v>
      </c>
      <c r="C35">
        <v>20</v>
      </c>
      <c r="D35">
        <v>0.3</v>
      </c>
      <c r="E35">
        <v>17.399999999999999</v>
      </c>
    </row>
    <row r="36" spans="1:5">
      <c r="A36">
        <v>35</v>
      </c>
      <c r="B36">
        <v>95.7</v>
      </c>
      <c r="C36">
        <v>1.4</v>
      </c>
      <c r="D36">
        <v>7.4</v>
      </c>
      <c r="E36">
        <v>9.5</v>
      </c>
    </row>
    <row r="37" spans="1:5">
      <c r="A37">
        <v>36</v>
      </c>
      <c r="B37">
        <v>290.7</v>
      </c>
      <c r="C37">
        <v>4.0999999999999996</v>
      </c>
      <c r="D37">
        <v>8.5</v>
      </c>
      <c r="E37">
        <v>12.8</v>
      </c>
    </row>
    <row r="38" spans="1:5">
      <c r="A38">
        <v>37</v>
      </c>
      <c r="B38">
        <v>266.89999999999998</v>
      </c>
      <c r="C38">
        <v>43.8</v>
      </c>
      <c r="D38">
        <v>5</v>
      </c>
      <c r="E38">
        <v>25.4</v>
      </c>
    </row>
    <row r="39" spans="1:5">
      <c r="A39">
        <v>38</v>
      </c>
      <c r="B39">
        <v>74.7</v>
      </c>
      <c r="C39">
        <v>49.4</v>
      </c>
      <c r="D39">
        <v>45.7</v>
      </c>
      <c r="E39">
        <v>14.7</v>
      </c>
    </row>
    <row r="40" spans="1:5">
      <c r="A40">
        <v>39</v>
      </c>
      <c r="B40">
        <v>43.1</v>
      </c>
      <c r="C40">
        <v>26.7</v>
      </c>
      <c r="D40">
        <v>35.1</v>
      </c>
      <c r="E40">
        <v>10.1</v>
      </c>
    </row>
    <row r="41" spans="1:5">
      <c r="A41">
        <v>40</v>
      </c>
      <c r="B41">
        <v>228</v>
      </c>
      <c r="C41">
        <v>37.700000000000003</v>
      </c>
      <c r="D41">
        <v>32</v>
      </c>
      <c r="E41">
        <v>21.5</v>
      </c>
    </row>
    <row r="42" spans="1:5">
      <c r="A42">
        <v>41</v>
      </c>
      <c r="B42">
        <v>202.5</v>
      </c>
      <c r="C42">
        <v>22.3</v>
      </c>
      <c r="D42">
        <v>31.6</v>
      </c>
      <c r="E42">
        <v>16.600000000000001</v>
      </c>
    </row>
    <row r="43" spans="1:5">
      <c r="A43">
        <v>42</v>
      </c>
      <c r="B43">
        <v>177</v>
      </c>
      <c r="C43">
        <v>33.4</v>
      </c>
      <c r="D43">
        <v>38.700000000000003</v>
      </c>
      <c r="E43">
        <v>17.100000000000001</v>
      </c>
    </row>
    <row r="44" spans="1:5">
      <c r="A44">
        <v>43</v>
      </c>
      <c r="B44">
        <v>293.60000000000002</v>
      </c>
      <c r="C44">
        <v>27.7</v>
      </c>
      <c r="D44">
        <v>1.8</v>
      </c>
      <c r="E44">
        <v>20.7</v>
      </c>
    </row>
    <row r="45" spans="1:5">
      <c r="A45">
        <v>44</v>
      </c>
      <c r="B45">
        <v>206.9</v>
      </c>
      <c r="C45">
        <v>8.4</v>
      </c>
      <c r="D45">
        <v>26.4</v>
      </c>
      <c r="E45">
        <v>12.9</v>
      </c>
    </row>
    <row r="46" spans="1:5">
      <c r="A46">
        <v>45</v>
      </c>
      <c r="B46">
        <v>25.1</v>
      </c>
      <c r="C46">
        <v>25.7</v>
      </c>
      <c r="D46">
        <v>43.3</v>
      </c>
      <c r="E46">
        <v>8.5</v>
      </c>
    </row>
    <row r="47" spans="1:5">
      <c r="A47">
        <v>46</v>
      </c>
      <c r="B47">
        <v>175.1</v>
      </c>
      <c r="C47">
        <v>22.5</v>
      </c>
      <c r="D47">
        <v>31.5</v>
      </c>
      <c r="E47">
        <v>14.9</v>
      </c>
    </row>
    <row r="48" spans="1:5">
      <c r="A48">
        <v>47</v>
      </c>
      <c r="B48">
        <v>89.7</v>
      </c>
      <c r="C48">
        <v>9.9</v>
      </c>
      <c r="D48">
        <v>35.700000000000003</v>
      </c>
      <c r="E48">
        <v>10.6</v>
      </c>
    </row>
    <row r="49" spans="1:5">
      <c r="A49">
        <v>48</v>
      </c>
      <c r="B49">
        <v>239.9</v>
      </c>
      <c r="C49">
        <v>41.5</v>
      </c>
      <c r="D49">
        <v>18.5</v>
      </c>
      <c r="E49">
        <v>23.2</v>
      </c>
    </row>
    <row r="50" spans="1:5">
      <c r="A50">
        <v>49</v>
      </c>
      <c r="B50">
        <v>227.2</v>
      </c>
      <c r="C50">
        <v>15.8</v>
      </c>
      <c r="D50">
        <v>49.9</v>
      </c>
      <c r="E50">
        <v>14.8</v>
      </c>
    </row>
    <row r="51" spans="1:5">
      <c r="A51">
        <v>50</v>
      </c>
      <c r="B51">
        <v>66.900000000000006</v>
      </c>
      <c r="C51">
        <v>11.7</v>
      </c>
      <c r="D51">
        <v>36.799999999999997</v>
      </c>
      <c r="E51">
        <v>9.6999999999999993</v>
      </c>
    </row>
    <row r="52" spans="1:5">
      <c r="A52">
        <v>51</v>
      </c>
      <c r="B52">
        <v>199.8</v>
      </c>
      <c r="C52">
        <v>3.1</v>
      </c>
      <c r="D52">
        <v>34.6</v>
      </c>
      <c r="E52">
        <v>11.4</v>
      </c>
    </row>
    <row r="53" spans="1:5">
      <c r="A53">
        <v>52</v>
      </c>
      <c r="B53">
        <v>100.4</v>
      </c>
      <c r="C53">
        <v>9.6</v>
      </c>
      <c r="D53">
        <v>3.6</v>
      </c>
      <c r="E53">
        <v>10.7</v>
      </c>
    </row>
    <row r="54" spans="1:5">
      <c r="A54">
        <v>53</v>
      </c>
      <c r="B54">
        <v>216.4</v>
      </c>
      <c r="C54">
        <v>41.7</v>
      </c>
      <c r="D54">
        <v>39.6</v>
      </c>
      <c r="E54">
        <v>22.6</v>
      </c>
    </row>
    <row r="55" spans="1:5">
      <c r="A55">
        <v>54</v>
      </c>
      <c r="B55">
        <v>182.6</v>
      </c>
      <c r="C55">
        <v>46.2</v>
      </c>
      <c r="D55">
        <v>58.7</v>
      </c>
      <c r="E55">
        <v>21.2</v>
      </c>
    </row>
    <row r="56" spans="1:5">
      <c r="A56">
        <v>55</v>
      </c>
      <c r="B56">
        <v>262.7</v>
      </c>
      <c r="C56">
        <v>28.8</v>
      </c>
      <c r="D56">
        <v>15.9</v>
      </c>
      <c r="E56">
        <v>20.2</v>
      </c>
    </row>
    <row r="57" spans="1:5">
      <c r="A57">
        <v>56</v>
      </c>
      <c r="B57">
        <v>198.9</v>
      </c>
      <c r="C57">
        <v>49.4</v>
      </c>
      <c r="D57">
        <v>60</v>
      </c>
      <c r="E57">
        <v>23.7</v>
      </c>
    </row>
    <row r="58" spans="1:5">
      <c r="A58">
        <v>57</v>
      </c>
      <c r="B58">
        <v>7.3</v>
      </c>
      <c r="C58">
        <v>28.1</v>
      </c>
      <c r="D58">
        <v>41.4</v>
      </c>
      <c r="E58">
        <v>5.5</v>
      </c>
    </row>
    <row r="59" spans="1:5">
      <c r="A59">
        <v>58</v>
      </c>
      <c r="B59">
        <v>136.19999999999999</v>
      </c>
      <c r="C59">
        <v>19.2</v>
      </c>
      <c r="D59">
        <v>16.600000000000001</v>
      </c>
      <c r="E59">
        <v>13.2</v>
      </c>
    </row>
    <row r="60" spans="1:5">
      <c r="A60">
        <v>59</v>
      </c>
      <c r="B60">
        <v>210.8</v>
      </c>
      <c r="C60">
        <v>49.6</v>
      </c>
      <c r="D60">
        <v>37.700000000000003</v>
      </c>
      <c r="E60">
        <v>23.8</v>
      </c>
    </row>
    <row r="61" spans="1:5">
      <c r="A61">
        <v>60</v>
      </c>
      <c r="B61">
        <v>210.7</v>
      </c>
      <c r="C61">
        <v>29.5</v>
      </c>
      <c r="D61">
        <v>9.3000000000000007</v>
      </c>
      <c r="E61">
        <v>18.399999999999999</v>
      </c>
    </row>
    <row r="62" spans="1:5">
      <c r="A62">
        <v>61</v>
      </c>
      <c r="B62">
        <v>53.5</v>
      </c>
      <c r="C62">
        <v>2</v>
      </c>
      <c r="D62">
        <v>21.4</v>
      </c>
      <c r="E62">
        <v>8.1</v>
      </c>
    </row>
    <row r="63" spans="1:5">
      <c r="A63">
        <v>62</v>
      </c>
      <c r="B63">
        <v>261.3</v>
      </c>
      <c r="C63">
        <v>42.7</v>
      </c>
      <c r="D63">
        <v>54.7</v>
      </c>
      <c r="E63">
        <v>24.2</v>
      </c>
    </row>
    <row r="64" spans="1:5">
      <c r="A64">
        <v>63</v>
      </c>
      <c r="B64">
        <v>239.3</v>
      </c>
      <c r="C64">
        <v>15.5</v>
      </c>
      <c r="D64">
        <v>27.3</v>
      </c>
      <c r="E64">
        <v>15.7</v>
      </c>
    </row>
    <row r="65" spans="1:5">
      <c r="A65">
        <v>64</v>
      </c>
      <c r="B65">
        <v>102.7</v>
      </c>
      <c r="C65">
        <v>29.6</v>
      </c>
      <c r="D65">
        <v>8.4</v>
      </c>
      <c r="E65">
        <v>14</v>
      </c>
    </row>
    <row r="66" spans="1:5">
      <c r="A66">
        <v>65</v>
      </c>
      <c r="B66">
        <v>131.1</v>
      </c>
      <c r="C66">
        <v>42.8</v>
      </c>
      <c r="D66">
        <v>28.9</v>
      </c>
      <c r="E66">
        <v>18</v>
      </c>
    </row>
    <row r="67" spans="1:5">
      <c r="A67">
        <v>66</v>
      </c>
      <c r="B67">
        <v>69</v>
      </c>
      <c r="C67">
        <v>9.3000000000000007</v>
      </c>
      <c r="D67">
        <v>0.9</v>
      </c>
      <c r="E67">
        <v>9.3000000000000007</v>
      </c>
    </row>
    <row r="68" spans="1:5">
      <c r="A68">
        <v>67</v>
      </c>
      <c r="B68">
        <v>31.5</v>
      </c>
      <c r="C68">
        <v>24.6</v>
      </c>
      <c r="D68">
        <v>2.2000000000000002</v>
      </c>
      <c r="E68">
        <v>9.5</v>
      </c>
    </row>
    <row r="69" spans="1:5">
      <c r="A69">
        <v>68</v>
      </c>
      <c r="B69">
        <v>139.30000000000001</v>
      </c>
      <c r="C69">
        <v>14.5</v>
      </c>
      <c r="D69">
        <v>10.199999999999999</v>
      </c>
      <c r="E69">
        <v>13.4</v>
      </c>
    </row>
    <row r="70" spans="1:5">
      <c r="A70">
        <v>69</v>
      </c>
      <c r="B70">
        <v>237.4</v>
      </c>
      <c r="C70">
        <v>27.5</v>
      </c>
      <c r="D70">
        <v>11</v>
      </c>
      <c r="E70">
        <v>18.899999999999999</v>
      </c>
    </row>
    <row r="71" spans="1:5">
      <c r="A71">
        <v>70</v>
      </c>
      <c r="B71">
        <v>216.8</v>
      </c>
      <c r="C71">
        <v>43.9</v>
      </c>
      <c r="D71">
        <v>27.2</v>
      </c>
      <c r="E71">
        <v>22.3</v>
      </c>
    </row>
    <row r="72" spans="1:5">
      <c r="A72">
        <v>71</v>
      </c>
      <c r="B72">
        <v>199.1</v>
      </c>
      <c r="C72">
        <v>30.6</v>
      </c>
      <c r="D72">
        <v>38.700000000000003</v>
      </c>
      <c r="E72">
        <v>18.3</v>
      </c>
    </row>
    <row r="73" spans="1:5">
      <c r="A73">
        <v>72</v>
      </c>
      <c r="B73">
        <v>109.8</v>
      </c>
      <c r="C73">
        <v>14.3</v>
      </c>
      <c r="D73">
        <v>31.7</v>
      </c>
      <c r="E73">
        <v>12.4</v>
      </c>
    </row>
    <row r="74" spans="1:5">
      <c r="A74">
        <v>73</v>
      </c>
      <c r="B74">
        <v>26.8</v>
      </c>
      <c r="C74">
        <v>33</v>
      </c>
      <c r="D74">
        <v>19.3</v>
      </c>
      <c r="E74">
        <v>8.8000000000000007</v>
      </c>
    </row>
    <row r="75" spans="1:5">
      <c r="A75">
        <v>74</v>
      </c>
      <c r="B75">
        <v>129.4</v>
      </c>
      <c r="C75">
        <v>5.7</v>
      </c>
      <c r="D75">
        <v>31.3</v>
      </c>
      <c r="E75">
        <v>11</v>
      </c>
    </row>
    <row r="76" spans="1:5">
      <c r="A76">
        <v>75</v>
      </c>
      <c r="B76">
        <v>213.4</v>
      </c>
      <c r="C76">
        <v>24.6</v>
      </c>
      <c r="D76">
        <v>13.1</v>
      </c>
      <c r="E76">
        <v>17</v>
      </c>
    </row>
    <row r="77" spans="1:5">
      <c r="A77">
        <v>76</v>
      </c>
      <c r="B77">
        <v>16.899999999999999</v>
      </c>
      <c r="C77">
        <v>43.7</v>
      </c>
      <c r="D77">
        <v>89.4</v>
      </c>
      <c r="E77">
        <v>8.6999999999999993</v>
      </c>
    </row>
    <row r="78" spans="1:5">
      <c r="A78">
        <v>77</v>
      </c>
      <c r="B78">
        <v>27.5</v>
      </c>
      <c r="C78">
        <v>1.6</v>
      </c>
      <c r="D78">
        <v>20.7</v>
      </c>
      <c r="E78">
        <v>6.9</v>
      </c>
    </row>
    <row r="79" spans="1:5">
      <c r="A79">
        <v>78</v>
      </c>
      <c r="B79">
        <v>120.5</v>
      </c>
      <c r="C79">
        <v>28.5</v>
      </c>
      <c r="D79">
        <v>14.2</v>
      </c>
      <c r="E79">
        <v>14.2</v>
      </c>
    </row>
    <row r="80" spans="1:5">
      <c r="A80">
        <v>79</v>
      </c>
      <c r="B80">
        <v>5.4</v>
      </c>
      <c r="C80">
        <v>29.9</v>
      </c>
      <c r="D80">
        <v>9.4</v>
      </c>
      <c r="E80">
        <v>5.3</v>
      </c>
    </row>
    <row r="81" spans="1:5">
      <c r="A81">
        <v>80</v>
      </c>
      <c r="B81">
        <v>116</v>
      </c>
      <c r="C81">
        <v>7.7</v>
      </c>
      <c r="D81">
        <v>23.1</v>
      </c>
      <c r="E81">
        <v>11</v>
      </c>
    </row>
    <row r="82" spans="1:5">
      <c r="A82">
        <v>81</v>
      </c>
      <c r="B82">
        <v>76.400000000000006</v>
      </c>
      <c r="C82">
        <v>26.7</v>
      </c>
      <c r="D82">
        <v>22.3</v>
      </c>
      <c r="E82">
        <v>11.8</v>
      </c>
    </row>
    <row r="83" spans="1:5">
      <c r="A83">
        <v>82</v>
      </c>
      <c r="B83">
        <v>239.8</v>
      </c>
      <c r="C83">
        <v>4.0999999999999996</v>
      </c>
      <c r="D83">
        <v>36.9</v>
      </c>
      <c r="E83">
        <v>12.3</v>
      </c>
    </row>
    <row r="84" spans="1:5">
      <c r="A84">
        <v>83</v>
      </c>
      <c r="B84">
        <v>75.3</v>
      </c>
      <c r="C84">
        <v>20.3</v>
      </c>
      <c r="D84">
        <v>32.5</v>
      </c>
      <c r="E84">
        <v>11.3</v>
      </c>
    </row>
    <row r="85" spans="1:5">
      <c r="A85">
        <v>84</v>
      </c>
      <c r="B85">
        <v>68.400000000000006</v>
      </c>
      <c r="C85">
        <v>44.5</v>
      </c>
      <c r="D85">
        <v>35.6</v>
      </c>
      <c r="E85">
        <v>13.6</v>
      </c>
    </row>
    <row r="86" spans="1:5">
      <c r="A86">
        <v>85</v>
      </c>
      <c r="B86">
        <v>213.5</v>
      </c>
      <c r="C86">
        <v>43</v>
      </c>
      <c r="D86">
        <v>33.799999999999997</v>
      </c>
      <c r="E86">
        <v>21.7</v>
      </c>
    </row>
    <row r="87" spans="1:5">
      <c r="A87">
        <v>86</v>
      </c>
      <c r="B87">
        <v>193.2</v>
      </c>
      <c r="C87">
        <v>18.399999999999999</v>
      </c>
      <c r="D87">
        <v>65.7</v>
      </c>
      <c r="E87">
        <v>15.2</v>
      </c>
    </row>
    <row r="88" spans="1:5">
      <c r="A88">
        <v>87</v>
      </c>
      <c r="B88">
        <v>76.3</v>
      </c>
      <c r="C88">
        <v>27.5</v>
      </c>
      <c r="D88">
        <v>16</v>
      </c>
      <c r="E88">
        <v>12</v>
      </c>
    </row>
    <row r="89" spans="1:5">
      <c r="A89">
        <v>88</v>
      </c>
      <c r="B89">
        <v>110.7</v>
      </c>
      <c r="C89">
        <v>40.6</v>
      </c>
      <c r="D89">
        <v>63.2</v>
      </c>
      <c r="E89">
        <v>16</v>
      </c>
    </row>
    <row r="90" spans="1:5">
      <c r="A90">
        <v>89</v>
      </c>
      <c r="B90">
        <v>88.3</v>
      </c>
      <c r="C90">
        <v>25.5</v>
      </c>
      <c r="D90">
        <v>73.400000000000006</v>
      </c>
      <c r="E90">
        <v>12.9</v>
      </c>
    </row>
    <row r="91" spans="1:5">
      <c r="A91">
        <v>90</v>
      </c>
      <c r="B91">
        <v>109.8</v>
      </c>
      <c r="C91">
        <v>47.8</v>
      </c>
      <c r="D91">
        <v>51.4</v>
      </c>
      <c r="E91">
        <v>16.7</v>
      </c>
    </row>
    <row r="92" spans="1:5">
      <c r="A92">
        <v>91</v>
      </c>
      <c r="B92">
        <v>134.30000000000001</v>
      </c>
      <c r="C92">
        <v>4.9000000000000004</v>
      </c>
      <c r="D92">
        <v>9.3000000000000007</v>
      </c>
      <c r="E92">
        <v>11.2</v>
      </c>
    </row>
    <row r="93" spans="1:5">
      <c r="A93">
        <v>92</v>
      </c>
      <c r="B93">
        <v>28.6</v>
      </c>
      <c r="C93">
        <v>1.5</v>
      </c>
      <c r="D93">
        <v>33</v>
      </c>
      <c r="E93">
        <v>7.3</v>
      </c>
    </row>
    <row r="94" spans="1:5">
      <c r="A94">
        <v>93</v>
      </c>
      <c r="B94">
        <v>217.7</v>
      </c>
      <c r="C94">
        <v>33.5</v>
      </c>
      <c r="D94">
        <v>59</v>
      </c>
      <c r="E94">
        <v>19.399999999999999</v>
      </c>
    </row>
    <row r="95" spans="1:5">
      <c r="A95">
        <v>94</v>
      </c>
      <c r="B95">
        <v>250.9</v>
      </c>
      <c r="C95">
        <v>36.5</v>
      </c>
      <c r="D95">
        <v>72.3</v>
      </c>
      <c r="E95">
        <v>22.2</v>
      </c>
    </row>
    <row r="96" spans="1:5">
      <c r="A96">
        <v>95</v>
      </c>
      <c r="B96">
        <v>107.4</v>
      </c>
      <c r="C96">
        <v>14</v>
      </c>
      <c r="D96">
        <v>10.9</v>
      </c>
      <c r="E96">
        <v>11.5</v>
      </c>
    </row>
    <row r="97" spans="1:5">
      <c r="A97">
        <v>96</v>
      </c>
      <c r="B97">
        <v>163.30000000000001</v>
      </c>
      <c r="C97">
        <v>31.6</v>
      </c>
      <c r="D97">
        <v>52.9</v>
      </c>
      <c r="E97">
        <v>16.899999999999999</v>
      </c>
    </row>
    <row r="98" spans="1:5">
      <c r="A98">
        <v>97</v>
      </c>
      <c r="B98">
        <v>197.6</v>
      </c>
      <c r="C98">
        <v>3.5</v>
      </c>
      <c r="D98">
        <v>5.9</v>
      </c>
      <c r="E98">
        <v>11.7</v>
      </c>
    </row>
    <row r="99" spans="1:5">
      <c r="A99">
        <v>98</v>
      </c>
      <c r="B99">
        <v>184.9</v>
      </c>
      <c r="C99">
        <v>21</v>
      </c>
      <c r="D99">
        <v>22</v>
      </c>
      <c r="E99">
        <v>15.5</v>
      </c>
    </row>
    <row r="100" spans="1:5">
      <c r="A100">
        <v>99</v>
      </c>
      <c r="B100">
        <v>289.7</v>
      </c>
      <c r="C100">
        <v>42.3</v>
      </c>
      <c r="D100">
        <v>51.2</v>
      </c>
      <c r="E100">
        <v>25.4</v>
      </c>
    </row>
    <row r="101" spans="1:5">
      <c r="A101">
        <v>100</v>
      </c>
      <c r="B101">
        <v>135.19999999999999</v>
      </c>
      <c r="C101">
        <v>41.7</v>
      </c>
      <c r="D101">
        <v>45.9</v>
      </c>
      <c r="E101">
        <v>17.2</v>
      </c>
    </row>
    <row r="102" spans="1:5">
      <c r="A102">
        <v>101</v>
      </c>
      <c r="B102">
        <v>222.4</v>
      </c>
      <c r="C102">
        <v>4.3</v>
      </c>
      <c r="D102">
        <v>49.8</v>
      </c>
      <c r="E102">
        <v>11.7</v>
      </c>
    </row>
    <row r="103" spans="1:5">
      <c r="A103">
        <v>102</v>
      </c>
      <c r="B103">
        <v>296.39999999999998</v>
      </c>
      <c r="C103">
        <v>36.299999999999997</v>
      </c>
      <c r="D103">
        <v>100.9</v>
      </c>
      <c r="E103">
        <v>23.8</v>
      </c>
    </row>
    <row r="104" spans="1:5">
      <c r="A104">
        <v>103</v>
      </c>
      <c r="B104">
        <v>280.2</v>
      </c>
      <c r="C104">
        <v>10.1</v>
      </c>
      <c r="D104">
        <v>21.4</v>
      </c>
      <c r="E104">
        <v>14.8</v>
      </c>
    </row>
    <row r="105" spans="1:5">
      <c r="A105">
        <v>104</v>
      </c>
      <c r="B105">
        <v>187.9</v>
      </c>
      <c r="C105">
        <v>17.2</v>
      </c>
      <c r="D105">
        <v>17.899999999999999</v>
      </c>
      <c r="E105">
        <v>14.7</v>
      </c>
    </row>
    <row r="106" spans="1:5">
      <c r="A106">
        <v>105</v>
      </c>
      <c r="B106">
        <v>238.2</v>
      </c>
      <c r="C106">
        <v>34.299999999999997</v>
      </c>
      <c r="D106">
        <v>5.3</v>
      </c>
      <c r="E106">
        <v>20.7</v>
      </c>
    </row>
    <row r="107" spans="1:5">
      <c r="A107">
        <v>106</v>
      </c>
      <c r="B107">
        <v>137.9</v>
      </c>
      <c r="C107">
        <v>46.4</v>
      </c>
      <c r="D107">
        <v>59</v>
      </c>
      <c r="E107">
        <v>19.2</v>
      </c>
    </row>
    <row r="108" spans="1:5">
      <c r="A108">
        <v>107</v>
      </c>
      <c r="B108">
        <v>25</v>
      </c>
      <c r="C108">
        <v>11</v>
      </c>
      <c r="D108">
        <v>29.7</v>
      </c>
      <c r="E108">
        <v>7.2</v>
      </c>
    </row>
    <row r="109" spans="1:5">
      <c r="A109">
        <v>108</v>
      </c>
      <c r="B109">
        <v>90.4</v>
      </c>
      <c r="C109">
        <v>0.3</v>
      </c>
      <c r="D109">
        <v>23.2</v>
      </c>
      <c r="E109">
        <v>8.6999999999999993</v>
      </c>
    </row>
    <row r="110" spans="1:5">
      <c r="A110">
        <v>109</v>
      </c>
      <c r="B110">
        <v>13.1</v>
      </c>
      <c r="C110">
        <v>0.4</v>
      </c>
      <c r="D110">
        <v>25.6</v>
      </c>
      <c r="E110">
        <v>5.3</v>
      </c>
    </row>
    <row r="111" spans="1:5">
      <c r="A111">
        <v>110</v>
      </c>
      <c r="B111">
        <v>255.4</v>
      </c>
      <c r="C111">
        <v>26.9</v>
      </c>
      <c r="D111">
        <v>5.5</v>
      </c>
      <c r="E111">
        <v>19.8</v>
      </c>
    </row>
    <row r="112" spans="1:5">
      <c r="A112">
        <v>111</v>
      </c>
      <c r="B112">
        <v>225.8</v>
      </c>
      <c r="C112">
        <v>8.1999999999999993</v>
      </c>
      <c r="D112">
        <v>56.5</v>
      </c>
      <c r="E112">
        <v>13.4</v>
      </c>
    </row>
    <row r="113" spans="1:5">
      <c r="A113">
        <v>112</v>
      </c>
      <c r="B113">
        <v>241.7</v>
      </c>
      <c r="C113">
        <v>38</v>
      </c>
      <c r="D113">
        <v>23.2</v>
      </c>
      <c r="E113">
        <v>21.8</v>
      </c>
    </row>
    <row r="114" spans="1:5">
      <c r="A114">
        <v>113</v>
      </c>
      <c r="B114">
        <v>175.7</v>
      </c>
      <c r="C114">
        <v>15.4</v>
      </c>
      <c r="D114">
        <v>2.4</v>
      </c>
      <c r="E114">
        <v>14.1</v>
      </c>
    </row>
    <row r="115" spans="1:5">
      <c r="A115">
        <v>114</v>
      </c>
      <c r="B115">
        <v>209.6</v>
      </c>
      <c r="C115">
        <v>20.6</v>
      </c>
      <c r="D115">
        <v>10.7</v>
      </c>
      <c r="E115">
        <v>15.9</v>
      </c>
    </row>
    <row r="116" spans="1:5">
      <c r="A116">
        <v>115</v>
      </c>
      <c r="B116">
        <v>78.2</v>
      </c>
      <c r="C116">
        <v>46.8</v>
      </c>
      <c r="D116">
        <v>34.5</v>
      </c>
      <c r="E116">
        <v>14.6</v>
      </c>
    </row>
    <row r="117" spans="1:5">
      <c r="A117">
        <v>116</v>
      </c>
      <c r="B117">
        <v>75.099999999999994</v>
      </c>
      <c r="C117">
        <v>35</v>
      </c>
      <c r="D117">
        <v>52.7</v>
      </c>
      <c r="E117">
        <v>12.6</v>
      </c>
    </row>
    <row r="118" spans="1:5">
      <c r="A118">
        <v>117</v>
      </c>
      <c r="B118">
        <v>139.19999999999999</v>
      </c>
      <c r="C118">
        <v>14.3</v>
      </c>
      <c r="D118">
        <v>25.6</v>
      </c>
      <c r="E118">
        <v>12.2</v>
      </c>
    </row>
    <row r="119" spans="1:5">
      <c r="A119">
        <v>118</v>
      </c>
      <c r="B119">
        <v>76.400000000000006</v>
      </c>
      <c r="C119">
        <v>0.8</v>
      </c>
      <c r="D119">
        <v>14.8</v>
      </c>
      <c r="E119">
        <v>9.4</v>
      </c>
    </row>
    <row r="120" spans="1:5">
      <c r="A120">
        <v>119</v>
      </c>
      <c r="B120">
        <v>125.7</v>
      </c>
      <c r="C120">
        <v>36.9</v>
      </c>
      <c r="D120">
        <v>79.2</v>
      </c>
      <c r="E120">
        <v>15.9</v>
      </c>
    </row>
    <row r="121" spans="1:5">
      <c r="A121">
        <v>120</v>
      </c>
      <c r="B121">
        <v>19.399999999999999</v>
      </c>
      <c r="C121">
        <v>16</v>
      </c>
      <c r="D121">
        <v>22.3</v>
      </c>
      <c r="E121">
        <v>6.6</v>
      </c>
    </row>
    <row r="122" spans="1:5">
      <c r="A122">
        <v>121</v>
      </c>
      <c r="B122">
        <v>141.30000000000001</v>
      </c>
      <c r="C122">
        <v>26.8</v>
      </c>
      <c r="D122">
        <v>46.2</v>
      </c>
      <c r="E122">
        <v>15.5</v>
      </c>
    </row>
    <row r="123" spans="1:5">
      <c r="A123">
        <v>122</v>
      </c>
      <c r="B123">
        <v>18.8</v>
      </c>
      <c r="C123">
        <v>21.7</v>
      </c>
      <c r="D123">
        <v>50.4</v>
      </c>
      <c r="E123">
        <v>7</v>
      </c>
    </row>
    <row r="124" spans="1:5">
      <c r="A124">
        <v>123</v>
      </c>
      <c r="B124">
        <v>224</v>
      </c>
      <c r="C124">
        <v>2.4</v>
      </c>
      <c r="D124">
        <v>15.6</v>
      </c>
      <c r="E124">
        <v>11.6</v>
      </c>
    </row>
    <row r="125" spans="1:5">
      <c r="A125">
        <v>124</v>
      </c>
      <c r="B125">
        <v>123.1</v>
      </c>
      <c r="C125">
        <v>34.6</v>
      </c>
      <c r="D125">
        <v>12.4</v>
      </c>
      <c r="E125">
        <v>15.2</v>
      </c>
    </row>
    <row r="126" spans="1:5">
      <c r="A126">
        <v>125</v>
      </c>
      <c r="B126">
        <v>229.5</v>
      </c>
      <c r="C126">
        <v>32.299999999999997</v>
      </c>
      <c r="D126">
        <v>74.2</v>
      </c>
      <c r="E126">
        <v>19.7</v>
      </c>
    </row>
    <row r="127" spans="1:5">
      <c r="A127">
        <v>126</v>
      </c>
      <c r="B127">
        <v>87.2</v>
      </c>
      <c r="C127">
        <v>11.8</v>
      </c>
      <c r="D127">
        <v>25.9</v>
      </c>
      <c r="E127">
        <v>10.6</v>
      </c>
    </row>
    <row r="128" spans="1:5">
      <c r="A128">
        <v>127</v>
      </c>
      <c r="B128">
        <v>7.8</v>
      </c>
      <c r="C128">
        <v>38.9</v>
      </c>
      <c r="D128">
        <v>50.6</v>
      </c>
      <c r="E128">
        <v>6.6</v>
      </c>
    </row>
    <row r="129" spans="1:5">
      <c r="A129">
        <v>128</v>
      </c>
      <c r="B129">
        <v>80.2</v>
      </c>
      <c r="C129">
        <v>0</v>
      </c>
      <c r="D129">
        <v>9.1999999999999993</v>
      </c>
      <c r="E129">
        <v>8.8000000000000007</v>
      </c>
    </row>
    <row r="130" spans="1:5">
      <c r="A130">
        <v>129</v>
      </c>
      <c r="B130">
        <v>220.3</v>
      </c>
      <c r="C130">
        <v>49</v>
      </c>
      <c r="D130">
        <v>3.2</v>
      </c>
      <c r="E130">
        <v>24.7</v>
      </c>
    </row>
    <row r="131" spans="1:5">
      <c r="A131">
        <v>130</v>
      </c>
      <c r="B131">
        <v>59.6</v>
      </c>
      <c r="C131">
        <v>12</v>
      </c>
      <c r="D131">
        <v>43.1</v>
      </c>
      <c r="E131">
        <v>9.6999999999999993</v>
      </c>
    </row>
    <row r="132" spans="1:5">
      <c r="A132">
        <v>131</v>
      </c>
      <c r="B132">
        <v>0.7</v>
      </c>
      <c r="C132">
        <v>39.6</v>
      </c>
      <c r="D132">
        <v>8.6999999999999993</v>
      </c>
      <c r="E132">
        <v>1.6</v>
      </c>
    </row>
    <row r="133" spans="1:5">
      <c r="A133">
        <v>132</v>
      </c>
      <c r="B133">
        <v>265.2</v>
      </c>
      <c r="C133">
        <v>2.9</v>
      </c>
      <c r="D133">
        <v>43</v>
      </c>
      <c r="E133">
        <v>12.7</v>
      </c>
    </row>
    <row r="134" spans="1:5">
      <c r="A134">
        <v>133</v>
      </c>
      <c r="B134">
        <v>8.4</v>
      </c>
      <c r="C134">
        <v>27.2</v>
      </c>
      <c r="D134">
        <v>2.1</v>
      </c>
      <c r="E134">
        <v>5.7</v>
      </c>
    </row>
    <row r="135" spans="1:5">
      <c r="A135">
        <v>134</v>
      </c>
      <c r="B135">
        <v>219.8</v>
      </c>
      <c r="C135">
        <v>33.5</v>
      </c>
      <c r="D135">
        <v>45.1</v>
      </c>
      <c r="E135">
        <v>19.600000000000001</v>
      </c>
    </row>
    <row r="136" spans="1:5">
      <c r="A136">
        <v>135</v>
      </c>
      <c r="B136">
        <v>36.9</v>
      </c>
      <c r="C136">
        <v>38.6</v>
      </c>
      <c r="D136">
        <v>65.599999999999994</v>
      </c>
      <c r="E136">
        <v>10.8</v>
      </c>
    </row>
    <row r="137" spans="1:5">
      <c r="A137">
        <v>136</v>
      </c>
      <c r="B137">
        <v>48.3</v>
      </c>
      <c r="C137">
        <v>47</v>
      </c>
      <c r="D137">
        <v>8.5</v>
      </c>
      <c r="E137">
        <v>11.6</v>
      </c>
    </row>
    <row r="138" spans="1:5">
      <c r="A138">
        <v>137</v>
      </c>
      <c r="B138">
        <v>25.6</v>
      </c>
      <c r="C138">
        <v>39</v>
      </c>
      <c r="D138">
        <v>9.3000000000000007</v>
      </c>
      <c r="E138">
        <v>9.5</v>
      </c>
    </row>
    <row r="139" spans="1:5">
      <c r="A139">
        <v>138</v>
      </c>
      <c r="B139">
        <v>273.7</v>
      </c>
      <c r="C139">
        <v>28.9</v>
      </c>
      <c r="D139">
        <v>59.7</v>
      </c>
      <c r="E139">
        <v>20.8</v>
      </c>
    </row>
    <row r="140" spans="1:5">
      <c r="A140">
        <v>139</v>
      </c>
      <c r="B140">
        <v>43</v>
      </c>
      <c r="C140">
        <v>25.9</v>
      </c>
      <c r="D140">
        <v>20.5</v>
      </c>
      <c r="E140">
        <v>9.6</v>
      </c>
    </row>
    <row r="141" spans="1:5">
      <c r="A141">
        <v>140</v>
      </c>
      <c r="B141">
        <v>184.9</v>
      </c>
      <c r="C141">
        <v>43.9</v>
      </c>
      <c r="D141">
        <v>1.7</v>
      </c>
      <c r="E141">
        <v>20.7</v>
      </c>
    </row>
    <row r="142" spans="1:5">
      <c r="A142">
        <v>141</v>
      </c>
      <c r="B142">
        <v>73.400000000000006</v>
      </c>
      <c r="C142">
        <v>17</v>
      </c>
      <c r="D142">
        <v>12.9</v>
      </c>
      <c r="E142">
        <v>10.9</v>
      </c>
    </row>
    <row r="143" spans="1:5">
      <c r="A143">
        <v>142</v>
      </c>
      <c r="B143">
        <v>193.7</v>
      </c>
      <c r="C143">
        <v>35.4</v>
      </c>
      <c r="D143">
        <v>75.599999999999994</v>
      </c>
      <c r="E143">
        <v>19.2</v>
      </c>
    </row>
    <row r="144" spans="1:5">
      <c r="A144">
        <v>143</v>
      </c>
      <c r="B144">
        <v>220.5</v>
      </c>
      <c r="C144">
        <v>33.200000000000003</v>
      </c>
      <c r="D144">
        <v>37.9</v>
      </c>
      <c r="E144">
        <v>20.100000000000001</v>
      </c>
    </row>
    <row r="145" spans="1:5">
      <c r="A145">
        <v>144</v>
      </c>
      <c r="B145">
        <v>104.6</v>
      </c>
      <c r="C145">
        <v>5.7</v>
      </c>
      <c r="D145">
        <v>34.4</v>
      </c>
      <c r="E145">
        <v>10.4</v>
      </c>
    </row>
    <row r="146" spans="1:5">
      <c r="A146">
        <v>145</v>
      </c>
      <c r="B146">
        <v>96.2</v>
      </c>
      <c r="C146">
        <v>14.8</v>
      </c>
      <c r="D146">
        <v>38.9</v>
      </c>
      <c r="E146">
        <v>11.4</v>
      </c>
    </row>
    <row r="147" spans="1:5">
      <c r="A147">
        <v>146</v>
      </c>
      <c r="B147">
        <v>140.30000000000001</v>
      </c>
      <c r="C147">
        <v>1.9</v>
      </c>
      <c r="D147">
        <v>9</v>
      </c>
      <c r="E147">
        <v>10.3</v>
      </c>
    </row>
    <row r="148" spans="1:5">
      <c r="A148">
        <v>147</v>
      </c>
      <c r="B148">
        <v>240.1</v>
      </c>
      <c r="C148">
        <v>7.3</v>
      </c>
      <c r="D148">
        <v>8.6999999999999993</v>
      </c>
      <c r="E148">
        <v>13.2</v>
      </c>
    </row>
    <row r="149" spans="1:5">
      <c r="A149">
        <v>148</v>
      </c>
      <c r="B149">
        <v>243.2</v>
      </c>
      <c r="C149">
        <v>49</v>
      </c>
      <c r="D149">
        <v>44.3</v>
      </c>
      <c r="E149">
        <v>25.4</v>
      </c>
    </row>
    <row r="150" spans="1:5">
      <c r="A150">
        <v>149</v>
      </c>
      <c r="B150">
        <v>38</v>
      </c>
      <c r="C150">
        <v>40.299999999999997</v>
      </c>
      <c r="D150">
        <v>11.9</v>
      </c>
      <c r="E150">
        <v>10.9</v>
      </c>
    </row>
    <row r="151" spans="1:5">
      <c r="A151">
        <v>150</v>
      </c>
      <c r="B151">
        <v>44.7</v>
      </c>
      <c r="C151">
        <v>25.8</v>
      </c>
      <c r="D151">
        <v>20.6</v>
      </c>
      <c r="E151">
        <v>10.1</v>
      </c>
    </row>
    <row r="152" spans="1:5">
      <c r="A152">
        <v>151</v>
      </c>
      <c r="B152">
        <v>280.7</v>
      </c>
      <c r="C152">
        <v>13.9</v>
      </c>
      <c r="D152">
        <v>37</v>
      </c>
      <c r="E152">
        <v>16.100000000000001</v>
      </c>
    </row>
    <row r="153" spans="1:5">
      <c r="A153">
        <v>152</v>
      </c>
      <c r="B153">
        <v>121</v>
      </c>
      <c r="C153">
        <v>8.4</v>
      </c>
      <c r="D153">
        <v>48.7</v>
      </c>
      <c r="E153">
        <v>11.6</v>
      </c>
    </row>
    <row r="154" spans="1:5">
      <c r="A154">
        <v>153</v>
      </c>
      <c r="B154">
        <v>197.6</v>
      </c>
      <c r="C154">
        <v>23.3</v>
      </c>
      <c r="D154">
        <v>14.2</v>
      </c>
      <c r="E154">
        <v>16.600000000000001</v>
      </c>
    </row>
    <row r="155" spans="1:5">
      <c r="A155">
        <v>154</v>
      </c>
      <c r="B155">
        <v>171.3</v>
      </c>
      <c r="C155">
        <v>39.700000000000003</v>
      </c>
      <c r="D155">
        <v>37.700000000000003</v>
      </c>
      <c r="E155">
        <v>19</v>
      </c>
    </row>
    <row r="156" spans="1:5">
      <c r="A156">
        <v>155</v>
      </c>
      <c r="B156">
        <v>187.8</v>
      </c>
      <c r="C156">
        <v>21.1</v>
      </c>
      <c r="D156">
        <v>9.5</v>
      </c>
      <c r="E156">
        <v>15.6</v>
      </c>
    </row>
    <row r="157" spans="1:5">
      <c r="A157">
        <v>156</v>
      </c>
      <c r="B157">
        <v>4.0999999999999996</v>
      </c>
      <c r="C157">
        <v>11.6</v>
      </c>
      <c r="D157">
        <v>5.7</v>
      </c>
      <c r="E157">
        <v>3.2</v>
      </c>
    </row>
    <row r="158" spans="1:5">
      <c r="A158">
        <v>157</v>
      </c>
      <c r="B158">
        <v>93.9</v>
      </c>
      <c r="C158">
        <v>43.5</v>
      </c>
      <c r="D158">
        <v>50.5</v>
      </c>
      <c r="E158">
        <v>15.3</v>
      </c>
    </row>
    <row r="159" spans="1:5">
      <c r="A159">
        <v>158</v>
      </c>
      <c r="B159">
        <v>149.80000000000001</v>
      </c>
      <c r="C159">
        <v>1.3</v>
      </c>
      <c r="D159">
        <v>24.3</v>
      </c>
      <c r="E159">
        <v>10.1</v>
      </c>
    </row>
    <row r="160" spans="1:5">
      <c r="A160">
        <v>159</v>
      </c>
      <c r="B160">
        <v>11.7</v>
      </c>
      <c r="C160">
        <v>36.9</v>
      </c>
      <c r="D160">
        <v>45.2</v>
      </c>
      <c r="E160">
        <v>7.3</v>
      </c>
    </row>
    <row r="161" spans="1:5">
      <c r="A161">
        <v>160</v>
      </c>
      <c r="B161">
        <v>131.69999999999999</v>
      </c>
      <c r="C161">
        <v>18.399999999999999</v>
      </c>
      <c r="D161">
        <v>34.6</v>
      </c>
      <c r="E161">
        <v>12.9</v>
      </c>
    </row>
    <row r="162" spans="1:5">
      <c r="A162">
        <v>161</v>
      </c>
      <c r="B162">
        <v>172.5</v>
      </c>
      <c r="C162">
        <v>18.100000000000001</v>
      </c>
      <c r="D162">
        <v>30.7</v>
      </c>
      <c r="E162">
        <v>14.4</v>
      </c>
    </row>
    <row r="163" spans="1:5">
      <c r="A163">
        <v>162</v>
      </c>
      <c r="B163">
        <v>85.7</v>
      </c>
      <c r="C163">
        <v>35.799999999999997</v>
      </c>
      <c r="D163">
        <v>49.3</v>
      </c>
      <c r="E163">
        <v>13.3</v>
      </c>
    </row>
    <row r="164" spans="1:5">
      <c r="A164">
        <v>163</v>
      </c>
      <c r="B164">
        <v>188.4</v>
      </c>
      <c r="C164">
        <v>18.100000000000001</v>
      </c>
      <c r="D164">
        <v>25.6</v>
      </c>
      <c r="E164">
        <v>14.9</v>
      </c>
    </row>
    <row r="165" spans="1:5">
      <c r="A165">
        <v>164</v>
      </c>
      <c r="B165">
        <v>163.5</v>
      </c>
      <c r="C165">
        <v>36.799999999999997</v>
      </c>
      <c r="D165">
        <v>7.4</v>
      </c>
      <c r="E165">
        <v>18</v>
      </c>
    </row>
    <row r="166" spans="1:5">
      <c r="A166">
        <v>165</v>
      </c>
      <c r="B166">
        <v>117.2</v>
      </c>
      <c r="C166">
        <v>14.7</v>
      </c>
      <c r="D166">
        <v>5.4</v>
      </c>
      <c r="E166">
        <v>11.9</v>
      </c>
    </row>
    <row r="167" spans="1:5">
      <c r="A167">
        <v>166</v>
      </c>
      <c r="B167">
        <v>234.5</v>
      </c>
      <c r="C167">
        <v>3.4</v>
      </c>
      <c r="D167">
        <v>84.8</v>
      </c>
      <c r="E167">
        <v>11.9</v>
      </c>
    </row>
    <row r="168" spans="1:5">
      <c r="A168">
        <v>167</v>
      </c>
      <c r="B168">
        <v>17.899999999999999</v>
      </c>
      <c r="C168">
        <v>37.6</v>
      </c>
      <c r="D168">
        <v>21.6</v>
      </c>
      <c r="E168">
        <v>8</v>
      </c>
    </row>
    <row r="169" spans="1:5">
      <c r="A169">
        <v>168</v>
      </c>
      <c r="B169">
        <v>206.8</v>
      </c>
      <c r="C169">
        <v>5.2</v>
      </c>
      <c r="D169">
        <v>19.399999999999999</v>
      </c>
      <c r="E169">
        <v>12.2</v>
      </c>
    </row>
    <row r="170" spans="1:5">
      <c r="A170">
        <v>169</v>
      </c>
      <c r="B170">
        <v>215.4</v>
      </c>
      <c r="C170">
        <v>23.6</v>
      </c>
      <c r="D170">
        <v>57.6</v>
      </c>
      <c r="E170">
        <v>17.100000000000001</v>
      </c>
    </row>
    <row r="171" spans="1:5">
      <c r="A171">
        <v>170</v>
      </c>
      <c r="B171">
        <v>284.3</v>
      </c>
      <c r="C171">
        <v>10.6</v>
      </c>
      <c r="D171">
        <v>6.4</v>
      </c>
      <c r="E171">
        <v>15</v>
      </c>
    </row>
    <row r="172" spans="1:5">
      <c r="A172">
        <v>171</v>
      </c>
      <c r="B172">
        <v>50</v>
      </c>
      <c r="C172">
        <v>11.6</v>
      </c>
      <c r="D172">
        <v>18.399999999999999</v>
      </c>
      <c r="E172">
        <v>8.4</v>
      </c>
    </row>
    <row r="173" spans="1:5">
      <c r="A173">
        <v>172</v>
      </c>
      <c r="B173">
        <v>164.5</v>
      </c>
      <c r="C173">
        <v>20.9</v>
      </c>
      <c r="D173">
        <v>47.4</v>
      </c>
      <c r="E173">
        <v>14.5</v>
      </c>
    </row>
    <row r="174" spans="1:5">
      <c r="A174">
        <v>173</v>
      </c>
      <c r="B174">
        <v>19.600000000000001</v>
      </c>
      <c r="C174">
        <v>20.100000000000001</v>
      </c>
      <c r="D174">
        <v>17</v>
      </c>
      <c r="E174">
        <v>7.6</v>
      </c>
    </row>
    <row r="175" spans="1:5">
      <c r="A175">
        <v>174</v>
      </c>
      <c r="B175">
        <v>168.4</v>
      </c>
      <c r="C175">
        <v>7.1</v>
      </c>
      <c r="D175">
        <v>12.8</v>
      </c>
      <c r="E175">
        <v>11.7</v>
      </c>
    </row>
    <row r="176" spans="1:5">
      <c r="A176">
        <v>175</v>
      </c>
      <c r="B176">
        <v>222.4</v>
      </c>
      <c r="C176">
        <v>3.4</v>
      </c>
      <c r="D176">
        <v>13.1</v>
      </c>
      <c r="E176">
        <v>11.5</v>
      </c>
    </row>
    <row r="177" spans="1:5">
      <c r="A177">
        <v>176</v>
      </c>
      <c r="B177">
        <v>276.89999999999998</v>
      </c>
      <c r="C177">
        <v>48.9</v>
      </c>
      <c r="D177">
        <v>41.8</v>
      </c>
      <c r="E177">
        <v>27</v>
      </c>
    </row>
    <row r="178" spans="1:5">
      <c r="A178">
        <v>177</v>
      </c>
      <c r="B178">
        <v>248.4</v>
      </c>
      <c r="C178">
        <v>30.2</v>
      </c>
      <c r="D178">
        <v>20.3</v>
      </c>
      <c r="E178">
        <v>20.2</v>
      </c>
    </row>
    <row r="179" spans="1:5">
      <c r="A179">
        <v>178</v>
      </c>
      <c r="B179">
        <v>170.2</v>
      </c>
      <c r="C179">
        <v>7.8</v>
      </c>
      <c r="D179">
        <v>35.200000000000003</v>
      </c>
      <c r="E179">
        <v>11.7</v>
      </c>
    </row>
    <row r="180" spans="1:5">
      <c r="A180">
        <v>179</v>
      </c>
      <c r="B180">
        <v>276.7</v>
      </c>
      <c r="C180">
        <v>2.2999999999999998</v>
      </c>
      <c r="D180">
        <v>23.7</v>
      </c>
      <c r="E180">
        <v>11.8</v>
      </c>
    </row>
    <row r="181" spans="1:5">
      <c r="A181">
        <v>180</v>
      </c>
      <c r="B181">
        <v>165.6</v>
      </c>
      <c r="C181">
        <v>10</v>
      </c>
      <c r="D181">
        <v>17.600000000000001</v>
      </c>
      <c r="E181">
        <v>12.6</v>
      </c>
    </row>
    <row r="182" spans="1:5">
      <c r="A182">
        <v>181</v>
      </c>
      <c r="B182">
        <v>156.6</v>
      </c>
      <c r="C182">
        <v>2.6</v>
      </c>
      <c r="D182">
        <v>8.3000000000000007</v>
      </c>
      <c r="E182">
        <v>10.5</v>
      </c>
    </row>
    <row r="183" spans="1:5">
      <c r="A183">
        <v>182</v>
      </c>
      <c r="B183">
        <v>218.5</v>
      </c>
      <c r="C183">
        <v>5.4</v>
      </c>
      <c r="D183">
        <v>27.4</v>
      </c>
      <c r="E183">
        <v>12.2</v>
      </c>
    </row>
    <row r="184" spans="1:5">
      <c r="A184">
        <v>183</v>
      </c>
      <c r="B184">
        <v>56.2</v>
      </c>
      <c r="C184">
        <v>5.7</v>
      </c>
      <c r="D184">
        <v>29.7</v>
      </c>
      <c r="E184">
        <v>8.6999999999999993</v>
      </c>
    </row>
    <row r="185" spans="1:5">
      <c r="A185">
        <v>184</v>
      </c>
      <c r="B185">
        <v>287.60000000000002</v>
      </c>
      <c r="C185">
        <v>43</v>
      </c>
      <c r="D185">
        <v>71.8</v>
      </c>
      <c r="E185">
        <v>26.2</v>
      </c>
    </row>
    <row r="186" spans="1:5">
      <c r="A186">
        <v>185</v>
      </c>
      <c r="B186">
        <v>253.8</v>
      </c>
      <c r="C186">
        <v>21.3</v>
      </c>
      <c r="D186">
        <v>30</v>
      </c>
      <c r="E186">
        <v>17.600000000000001</v>
      </c>
    </row>
    <row r="187" spans="1:5">
      <c r="A187">
        <v>186</v>
      </c>
      <c r="B187">
        <v>205</v>
      </c>
      <c r="C187">
        <v>45.1</v>
      </c>
      <c r="D187">
        <v>19.600000000000001</v>
      </c>
      <c r="E187">
        <v>22.6</v>
      </c>
    </row>
    <row r="188" spans="1:5">
      <c r="A188">
        <v>187</v>
      </c>
      <c r="B188">
        <v>139.5</v>
      </c>
      <c r="C188">
        <v>2.1</v>
      </c>
      <c r="D188">
        <v>26.6</v>
      </c>
      <c r="E188">
        <v>10.3</v>
      </c>
    </row>
    <row r="189" spans="1:5">
      <c r="A189">
        <v>188</v>
      </c>
      <c r="B189">
        <v>191.1</v>
      </c>
      <c r="C189">
        <v>28.7</v>
      </c>
      <c r="D189">
        <v>18.2</v>
      </c>
      <c r="E189">
        <v>17.3</v>
      </c>
    </row>
    <row r="190" spans="1:5">
      <c r="A190">
        <v>189</v>
      </c>
      <c r="B190">
        <v>286</v>
      </c>
      <c r="C190">
        <v>13.9</v>
      </c>
      <c r="D190">
        <v>3.7</v>
      </c>
      <c r="E190">
        <v>15.9</v>
      </c>
    </row>
    <row r="191" spans="1:5">
      <c r="A191">
        <v>190</v>
      </c>
      <c r="B191">
        <v>18.7</v>
      </c>
      <c r="C191">
        <v>12.1</v>
      </c>
      <c r="D191">
        <v>23.4</v>
      </c>
      <c r="E191">
        <v>6.7</v>
      </c>
    </row>
    <row r="192" spans="1:5">
      <c r="A192">
        <v>191</v>
      </c>
      <c r="B192">
        <v>39.5</v>
      </c>
      <c r="C192">
        <v>41.1</v>
      </c>
      <c r="D192">
        <v>5.8</v>
      </c>
      <c r="E192">
        <v>10.8</v>
      </c>
    </row>
    <row r="193" spans="1:5">
      <c r="A193">
        <v>192</v>
      </c>
      <c r="B193">
        <v>75.5</v>
      </c>
      <c r="C193">
        <v>10.8</v>
      </c>
      <c r="D193">
        <v>6</v>
      </c>
      <c r="E193">
        <v>9.9</v>
      </c>
    </row>
    <row r="194" spans="1:5">
      <c r="A194">
        <v>193</v>
      </c>
      <c r="B194">
        <v>17.2</v>
      </c>
      <c r="C194">
        <v>4.0999999999999996</v>
      </c>
      <c r="D194">
        <v>31.6</v>
      </c>
      <c r="E194">
        <v>5.9</v>
      </c>
    </row>
    <row r="195" spans="1:5">
      <c r="A195">
        <v>194</v>
      </c>
      <c r="B195">
        <v>166.8</v>
      </c>
      <c r="C195">
        <v>42</v>
      </c>
      <c r="D195">
        <v>3.6</v>
      </c>
      <c r="E195">
        <v>19.600000000000001</v>
      </c>
    </row>
    <row r="196" spans="1:5">
      <c r="A196">
        <v>195</v>
      </c>
      <c r="B196">
        <v>149.69999999999999</v>
      </c>
      <c r="C196">
        <v>35.6</v>
      </c>
      <c r="D196">
        <v>6</v>
      </c>
      <c r="E196">
        <v>17.3</v>
      </c>
    </row>
    <row r="197" spans="1:5">
      <c r="A197">
        <v>196</v>
      </c>
      <c r="B197">
        <v>38.200000000000003</v>
      </c>
      <c r="C197">
        <v>3.7</v>
      </c>
      <c r="D197">
        <v>13.8</v>
      </c>
      <c r="E197">
        <v>7.6</v>
      </c>
    </row>
    <row r="198" spans="1:5">
      <c r="A198">
        <v>197</v>
      </c>
      <c r="B198">
        <v>94.2</v>
      </c>
      <c r="C198">
        <v>4.9000000000000004</v>
      </c>
      <c r="D198">
        <v>8.1</v>
      </c>
      <c r="E198">
        <v>9.6999999999999993</v>
      </c>
    </row>
    <row r="199" spans="1:5">
      <c r="A199">
        <v>198</v>
      </c>
      <c r="B199">
        <v>177</v>
      </c>
      <c r="C199">
        <v>9.3000000000000007</v>
      </c>
      <c r="D199">
        <v>6.4</v>
      </c>
      <c r="E199">
        <v>12.8</v>
      </c>
    </row>
    <row r="200" spans="1:5">
      <c r="A200">
        <v>199</v>
      </c>
      <c r="B200">
        <v>283.60000000000002</v>
      </c>
      <c r="C200">
        <v>42</v>
      </c>
      <c r="D200">
        <v>66.2</v>
      </c>
      <c r="E200">
        <v>25.5</v>
      </c>
    </row>
    <row r="201" spans="1:5">
      <c r="A201">
        <v>200</v>
      </c>
      <c r="B201">
        <v>232.1</v>
      </c>
      <c r="C201">
        <v>8.6</v>
      </c>
      <c r="D201">
        <v>8.6999999999999993</v>
      </c>
      <c r="E201">
        <v>13.4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28"/>
  <sheetViews>
    <sheetView workbookViewId="0">
      <selection activeCell="E12" sqref="E12"/>
    </sheetView>
  </sheetViews>
  <sheetFormatPr baseColWidth="10" defaultColWidth="11.5546875" defaultRowHeight="14.4"/>
  <cols>
    <col min="3" max="3" width="12.77734375" bestFit="1" customWidth="1"/>
  </cols>
  <sheetData>
    <row r="1" spans="1:4">
      <c r="A1" t="s">
        <v>9</v>
      </c>
      <c r="B1" t="s">
        <v>10</v>
      </c>
      <c r="C1" t="s">
        <v>8</v>
      </c>
      <c r="D1" t="s">
        <v>11</v>
      </c>
    </row>
    <row r="2" spans="1:4">
      <c r="A2">
        <v>117.6</v>
      </c>
      <c r="B2">
        <v>3.2799999240000002</v>
      </c>
      <c r="C2">
        <v>92.4</v>
      </c>
      <c r="D2">
        <v>2</v>
      </c>
    </row>
    <row r="3" spans="1:4">
      <c r="A3">
        <v>92.8</v>
      </c>
      <c r="B3">
        <v>2.7600000379999998</v>
      </c>
      <c r="C3">
        <v>62.4</v>
      </c>
      <c r="D3">
        <v>2</v>
      </c>
    </row>
    <row r="4" spans="1:4">
      <c r="A4">
        <v>59.6</v>
      </c>
      <c r="B4">
        <v>1.2</v>
      </c>
      <c r="C4">
        <v>4</v>
      </c>
      <c r="D4">
        <v>3</v>
      </c>
    </row>
    <row r="5" spans="1:4">
      <c r="A5">
        <v>240</v>
      </c>
      <c r="B5">
        <v>4.8</v>
      </c>
      <c r="C5">
        <v>207.6</v>
      </c>
      <c r="D5">
        <v>4</v>
      </c>
    </row>
    <row r="6" spans="1:4">
      <c r="A6">
        <v>226.8</v>
      </c>
      <c r="B6">
        <v>4.2400001520000004</v>
      </c>
      <c r="C6">
        <v>174.8</v>
      </c>
      <c r="D6">
        <v>4</v>
      </c>
    </row>
    <row r="7" spans="1:4">
      <c r="A7">
        <v>228.4</v>
      </c>
      <c r="B7">
        <v>4.7200000759999998</v>
      </c>
      <c r="C7">
        <v>194.8</v>
      </c>
      <c r="D7">
        <v>4</v>
      </c>
    </row>
    <row r="8" spans="1:4">
      <c r="A8">
        <v>204.8</v>
      </c>
      <c r="B8">
        <v>3.24</v>
      </c>
      <c r="C8">
        <v>119.6</v>
      </c>
      <c r="D8">
        <v>1</v>
      </c>
    </row>
    <row r="9" spans="1:4">
      <c r="A9">
        <v>138.80000000000001</v>
      </c>
      <c r="B9">
        <v>3.079999924</v>
      </c>
      <c r="C9">
        <v>78</v>
      </c>
      <c r="D9">
        <v>2</v>
      </c>
    </row>
    <row r="10" spans="1:4">
      <c r="A10">
        <v>84.8</v>
      </c>
      <c r="B10">
        <v>1.319999981</v>
      </c>
      <c r="C10">
        <v>8</v>
      </c>
      <c r="D10">
        <v>3</v>
      </c>
    </row>
    <row r="11" spans="1:4">
      <c r="A11">
        <v>40.799999999999997</v>
      </c>
      <c r="B11">
        <v>1.960000038</v>
      </c>
      <c r="C11">
        <v>27.2</v>
      </c>
      <c r="D11">
        <v>3</v>
      </c>
    </row>
    <row r="12" spans="1:4">
      <c r="A12">
        <v>315.2</v>
      </c>
      <c r="B12">
        <v>6.9599998479999998</v>
      </c>
      <c r="C12">
        <v>228</v>
      </c>
      <c r="D12">
        <v>4</v>
      </c>
    </row>
    <row r="13" spans="1:4">
      <c r="A13">
        <v>230.8</v>
      </c>
      <c r="B13">
        <v>4.2</v>
      </c>
      <c r="C13">
        <v>171.2</v>
      </c>
      <c r="D13">
        <v>4</v>
      </c>
    </row>
    <row r="14" spans="1:4">
      <c r="A14">
        <v>214</v>
      </c>
      <c r="B14">
        <v>4.5200000759999996</v>
      </c>
      <c r="C14">
        <v>185.6</v>
      </c>
      <c r="D14">
        <v>4</v>
      </c>
    </row>
    <row r="15" spans="1:4">
      <c r="A15">
        <v>65.2</v>
      </c>
      <c r="B15">
        <v>1</v>
      </c>
      <c r="C15">
        <v>6</v>
      </c>
      <c r="D15">
        <v>3</v>
      </c>
    </row>
    <row r="16" spans="1:4">
      <c r="A16">
        <v>67.2</v>
      </c>
      <c r="B16">
        <v>1.879999924</v>
      </c>
      <c r="C16">
        <v>26</v>
      </c>
      <c r="D16">
        <v>3</v>
      </c>
    </row>
    <row r="17" spans="1:4">
      <c r="A17">
        <v>60.4</v>
      </c>
      <c r="B17">
        <v>1.839999962</v>
      </c>
      <c r="C17">
        <v>39.200000000000003</v>
      </c>
      <c r="D17">
        <v>3</v>
      </c>
    </row>
    <row r="18" spans="1:4">
      <c r="A18">
        <v>136.80000000000001</v>
      </c>
      <c r="B18">
        <v>2.2000000000000002</v>
      </c>
      <c r="C18">
        <v>159.19999999999999</v>
      </c>
      <c r="D18">
        <v>1</v>
      </c>
    </row>
    <row r="19" spans="1:4">
      <c r="A19">
        <v>78.400000000000006</v>
      </c>
      <c r="B19">
        <v>2.8799999239999998</v>
      </c>
      <c r="C19">
        <v>64.400000000000006</v>
      </c>
      <c r="D19">
        <v>2</v>
      </c>
    </row>
    <row r="20" spans="1:4">
      <c r="A20">
        <v>181.2</v>
      </c>
      <c r="B20">
        <v>4.159999848</v>
      </c>
      <c r="C20">
        <v>158.80000000000001</v>
      </c>
      <c r="D20">
        <v>1</v>
      </c>
    </row>
    <row r="21" spans="1:4">
      <c r="A21">
        <v>207.2</v>
      </c>
      <c r="B21">
        <v>4.5999999999999996</v>
      </c>
      <c r="C21">
        <v>198.8</v>
      </c>
      <c r="D21">
        <v>4</v>
      </c>
    </row>
    <row r="22" spans="1:4">
      <c r="A22">
        <v>246</v>
      </c>
      <c r="B22">
        <v>4.920000076</v>
      </c>
      <c r="C22">
        <v>211.2</v>
      </c>
      <c r="D22">
        <v>4</v>
      </c>
    </row>
    <row r="23" spans="1:4">
      <c r="A23">
        <v>111.2</v>
      </c>
      <c r="B23">
        <v>1.1199999810000001</v>
      </c>
      <c r="C23">
        <v>39.6</v>
      </c>
      <c r="D23">
        <v>2</v>
      </c>
    </row>
    <row r="24" spans="1:4">
      <c r="A24">
        <v>56.8</v>
      </c>
      <c r="B24">
        <v>1.239999962</v>
      </c>
      <c r="C24">
        <v>0.2</v>
      </c>
      <c r="D24">
        <v>3</v>
      </c>
    </row>
    <row r="25" spans="1:4">
      <c r="A25">
        <v>184.4</v>
      </c>
      <c r="B25">
        <v>3.84</v>
      </c>
      <c r="C25">
        <v>138.80000000000001</v>
      </c>
      <c r="D25">
        <v>1</v>
      </c>
    </row>
    <row r="26" spans="1:4">
      <c r="A26">
        <v>152.80000000000001</v>
      </c>
      <c r="B26">
        <v>3.920000076</v>
      </c>
      <c r="C26">
        <v>136.4</v>
      </c>
      <c r="D26">
        <v>1</v>
      </c>
    </row>
    <row r="27" spans="1:4">
      <c r="A27">
        <v>236</v>
      </c>
      <c r="B27">
        <v>4.8</v>
      </c>
      <c r="C27">
        <v>202.8</v>
      </c>
      <c r="D27">
        <v>4</v>
      </c>
    </row>
    <row r="28" spans="1:4">
      <c r="A28">
        <v>206.8</v>
      </c>
      <c r="B28">
        <v>2.8</v>
      </c>
      <c r="C28">
        <v>160</v>
      </c>
      <c r="D28"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D28"/>
  <sheetViews>
    <sheetView topLeftCell="B7" workbookViewId="0">
      <selection activeCell="O34" sqref="O34"/>
    </sheetView>
  </sheetViews>
  <sheetFormatPr baseColWidth="10" defaultColWidth="11.5546875" defaultRowHeight="14.4"/>
  <cols>
    <col min="4" max="4" width="16.5546875" bestFit="1" customWidth="1"/>
  </cols>
  <sheetData>
    <row r="1" spans="1:4">
      <c r="A1" t="s">
        <v>12</v>
      </c>
      <c r="B1" t="s">
        <v>1</v>
      </c>
    </row>
    <row r="2" spans="1:4">
      <c r="A2" s="1">
        <v>4</v>
      </c>
      <c r="B2">
        <v>1</v>
      </c>
      <c r="C2">
        <v>18.774999999999999</v>
      </c>
      <c r="D2" t="s">
        <v>13</v>
      </c>
    </row>
    <row r="3" spans="1:4">
      <c r="A3" s="1">
        <v>8</v>
      </c>
      <c r="B3">
        <v>1</v>
      </c>
      <c r="C3">
        <f>STDEVP(A2:A9)</f>
        <v>15.069318995893612</v>
      </c>
      <c r="D3" t="s">
        <v>14</v>
      </c>
    </row>
    <row r="4" spans="1:4">
      <c r="A4" s="1">
        <v>27.2</v>
      </c>
      <c r="B4">
        <v>1</v>
      </c>
    </row>
    <row r="5" spans="1:4">
      <c r="A5" s="1">
        <v>6</v>
      </c>
      <c r="B5">
        <v>1</v>
      </c>
    </row>
    <row r="6" spans="1:4">
      <c r="A6" s="1">
        <v>26</v>
      </c>
      <c r="B6">
        <v>1</v>
      </c>
    </row>
    <row r="7" spans="1:4">
      <c r="A7" s="1">
        <v>39.200000000000003</v>
      </c>
      <c r="B7">
        <v>1</v>
      </c>
    </row>
    <row r="8" spans="1:4">
      <c r="A8" s="1">
        <v>39.6</v>
      </c>
      <c r="B8">
        <v>1</v>
      </c>
    </row>
    <row r="9" spans="1:4">
      <c r="A9" s="1">
        <v>0.2</v>
      </c>
      <c r="B9">
        <v>1</v>
      </c>
    </row>
    <row r="10" spans="1:4">
      <c r="A10" s="2">
        <v>207.6</v>
      </c>
      <c r="B10">
        <v>2</v>
      </c>
      <c r="C10">
        <v>204.11</v>
      </c>
      <c r="D10" t="s">
        <v>13</v>
      </c>
    </row>
    <row r="11" spans="1:4">
      <c r="A11" s="2">
        <v>194.8</v>
      </c>
      <c r="B11">
        <v>2</v>
      </c>
      <c r="C11">
        <f>STDEVP(A10:A16)</f>
        <v>12.492217985773447</v>
      </c>
      <c r="D11" t="s">
        <v>14</v>
      </c>
    </row>
    <row r="12" spans="1:4">
      <c r="A12" s="2">
        <v>228</v>
      </c>
      <c r="B12">
        <v>2</v>
      </c>
    </row>
    <row r="13" spans="1:4">
      <c r="A13" s="2">
        <v>185.6</v>
      </c>
      <c r="B13">
        <v>2</v>
      </c>
    </row>
    <row r="14" spans="1:4">
      <c r="A14" s="2">
        <v>198.8</v>
      </c>
      <c r="B14">
        <v>2</v>
      </c>
    </row>
    <row r="15" spans="1:4">
      <c r="A15" s="2">
        <v>211.2</v>
      </c>
      <c r="B15">
        <v>2</v>
      </c>
    </row>
    <row r="16" spans="1:4">
      <c r="A16" s="2">
        <v>202.8</v>
      </c>
      <c r="B16">
        <v>2</v>
      </c>
    </row>
    <row r="17" spans="1:4">
      <c r="A17" s="4">
        <v>174.8</v>
      </c>
      <c r="B17">
        <v>3</v>
      </c>
      <c r="C17">
        <v>152.35</v>
      </c>
      <c r="D17" t="s">
        <v>13</v>
      </c>
    </row>
    <row r="18" spans="1:4">
      <c r="A18" s="4">
        <v>119.6</v>
      </c>
      <c r="B18">
        <v>3</v>
      </c>
      <c r="C18">
        <f>STDEVP(A17:A24)</f>
        <v>17.737460359363748</v>
      </c>
      <c r="D18" t="s">
        <v>14</v>
      </c>
    </row>
    <row r="19" spans="1:4">
      <c r="A19" s="4">
        <v>171.2</v>
      </c>
      <c r="B19">
        <v>3</v>
      </c>
    </row>
    <row r="20" spans="1:4">
      <c r="A20" s="4">
        <v>159.19999999999999</v>
      </c>
      <c r="B20">
        <v>3</v>
      </c>
    </row>
    <row r="21" spans="1:4">
      <c r="A21" s="4">
        <v>158.80000000000001</v>
      </c>
      <c r="B21">
        <v>3</v>
      </c>
    </row>
    <row r="22" spans="1:4">
      <c r="A22" s="4">
        <v>138.80000000000001</v>
      </c>
      <c r="B22">
        <v>3</v>
      </c>
    </row>
    <row r="23" spans="1:4">
      <c r="A23" s="4">
        <v>136.4</v>
      </c>
      <c r="B23">
        <v>3</v>
      </c>
    </row>
    <row r="24" spans="1:4">
      <c r="A24" s="4">
        <v>160</v>
      </c>
      <c r="B24">
        <v>3</v>
      </c>
    </row>
    <row r="25" spans="1:4">
      <c r="A25" s="3">
        <v>92.4</v>
      </c>
      <c r="B25">
        <v>4</v>
      </c>
      <c r="C25">
        <v>74.3</v>
      </c>
      <c r="D25" t="s">
        <v>13</v>
      </c>
    </row>
    <row r="26" spans="1:4">
      <c r="A26" s="3">
        <v>62.4</v>
      </c>
      <c r="B26">
        <v>4</v>
      </c>
      <c r="C26">
        <f>STDEVP(A25:A28)</f>
        <v>12.051141024815809</v>
      </c>
      <c r="D26" t="s">
        <v>14</v>
      </c>
    </row>
    <row r="27" spans="1:4">
      <c r="A27" s="3">
        <v>78</v>
      </c>
      <c r="B27">
        <v>4</v>
      </c>
    </row>
    <row r="28" spans="1:4">
      <c r="A28" s="3">
        <v>64.400000000000006</v>
      </c>
      <c r="B28">
        <v>4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1"/>
  <dimension ref="A1:E28"/>
  <sheetViews>
    <sheetView workbookViewId="0">
      <selection activeCell="F27" sqref="F27"/>
    </sheetView>
  </sheetViews>
  <sheetFormatPr baseColWidth="10" defaultColWidth="11.5546875" defaultRowHeight="14.4"/>
  <cols>
    <col min="2" max="2" width="12.77734375" bestFit="1" customWidth="1"/>
    <col min="5" max="5" width="26.44140625" customWidth="1"/>
  </cols>
  <sheetData>
    <row r="1" spans="1:5">
      <c r="A1" t="s">
        <v>10</v>
      </c>
      <c r="B1" t="s">
        <v>8</v>
      </c>
      <c r="C1" t="s">
        <v>11</v>
      </c>
    </row>
    <row r="2" spans="1:5" hidden="1">
      <c r="A2">
        <v>3.2799999240000002</v>
      </c>
      <c r="B2">
        <v>92.4</v>
      </c>
      <c r="C2">
        <v>4</v>
      </c>
    </row>
    <row r="3" spans="1:5" hidden="1">
      <c r="A3">
        <v>2.7600000379999998</v>
      </c>
      <c r="B3">
        <v>62.4</v>
      </c>
      <c r="C3">
        <v>4</v>
      </c>
    </row>
    <row r="4" spans="1:5" hidden="1">
      <c r="A4">
        <v>1.2</v>
      </c>
      <c r="B4">
        <v>4</v>
      </c>
      <c r="C4">
        <v>1</v>
      </c>
    </row>
    <row r="5" spans="1:5">
      <c r="A5">
        <v>4.8</v>
      </c>
      <c r="B5">
        <v>207.6</v>
      </c>
      <c r="C5">
        <v>2</v>
      </c>
      <c r="D5">
        <v>5.04</v>
      </c>
      <c r="E5" t="s">
        <v>16</v>
      </c>
    </row>
    <row r="6" spans="1:5" hidden="1">
      <c r="A6">
        <v>4.2400001520000004</v>
      </c>
      <c r="B6">
        <v>174.8</v>
      </c>
      <c r="C6">
        <v>3</v>
      </c>
    </row>
    <row r="7" spans="1:5">
      <c r="A7">
        <v>4.7200000759999998</v>
      </c>
      <c r="B7">
        <v>194.8</v>
      </c>
      <c r="C7">
        <v>2</v>
      </c>
      <c r="D7" t="e">
        <f ca="1">_xlfn.STDEV.P(A5:A27)</f>
        <v>#NAME?</v>
      </c>
      <c r="E7" t="s">
        <v>17</v>
      </c>
    </row>
    <row r="8" spans="1:5" hidden="1">
      <c r="A8">
        <v>3.24</v>
      </c>
      <c r="B8">
        <v>119.6</v>
      </c>
      <c r="C8">
        <v>3</v>
      </c>
    </row>
    <row r="9" spans="1:5" hidden="1">
      <c r="A9">
        <v>3.079999924</v>
      </c>
      <c r="B9">
        <v>78</v>
      </c>
      <c r="C9">
        <v>4</v>
      </c>
    </row>
    <row r="10" spans="1:5" hidden="1">
      <c r="A10">
        <v>1.319999981</v>
      </c>
      <c r="B10">
        <v>8</v>
      </c>
      <c r="C10">
        <v>1</v>
      </c>
    </row>
    <row r="11" spans="1:5" hidden="1">
      <c r="A11">
        <v>1.960000038</v>
      </c>
      <c r="B11">
        <v>27.2</v>
      </c>
      <c r="C11">
        <v>1</v>
      </c>
    </row>
    <row r="12" spans="1:5">
      <c r="A12">
        <v>6.9599998479999998</v>
      </c>
      <c r="B12">
        <v>228</v>
      </c>
      <c r="C12">
        <v>2</v>
      </c>
      <c r="D12">
        <v>204.11</v>
      </c>
      <c r="E12" t="s">
        <v>18</v>
      </c>
    </row>
    <row r="13" spans="1:5" hidden="1">
      <c r="A13">
        <v>4.2</v>
      </c>
      <c r="B13">
        <v>171.2</v>
      </c>
      <c r="C13">
        <v>3</v>
      </c>
    </row>
    <row r="14" spans="1:5">
      <c r="A14">
        <v>4.5200000759999996</v>
      </c>
      <c r="B14">
        <v>185.6</v>
      </c>
      <c r="C14">
        <v>2</v>
      </c>
      <c r="D14" t="e">
        <f ca="1">_xlfn.STDEV.P(B5:B27)</f>
        <v>#NAME?</v>
      </c>
      <c r="E14" t="s">
        <v>19</v>
      </c>
    </row>
    <row r="15" spans="1:5" hidden="1">
      <c r="A15">
        <v>1</v>
      </c>
      <c r="B15">
        <v>6</v>
      </c>
      <c r="C15">
        <v>1</v>
      </c>
    </row>
    <row r="16" spans="1:5" hidden="1">
      <c r="A16">
        <v>1.879999924</v>
      </c>
      <c r="B16">
        <v>26</v>
      </c>
      <c r="C16">
        <v>1</v>
      </c>
    </row>
    <row r="17" spans="1:3" hidden="1">
      <c r="A17">
        <v>1.839999962</v>
      </c>
      <c r="B17">
        <v>39.200000000000003</v>
      </c>
      <c r="C17">
        <v>1</v>
      </c>
    </row>
    <row r="18" spans="1:3" hidden="1">
      <c r="A18">
        <v>2.2000000000000002</v>
      </c>
      <c r="B18">
        <v>159.19999999999999</v>
      </c>
      <c r="C18">
        <v>3</v>
      </c>
    </row>
    <row r="19" spans="1:3" hidden="1">
      <c r="A19">
        <v>2.8799999239999998</v>
      </c>
      <c r="B19">
        <v>64.400000000000006</v>
      </c>
      <c r="C19">
        <v>4</v>
      </c>
    </row>
    <row r="20" spans="1:3" hidden="1">
      <c r="A20">
        <v>4.159999848</v>
      </c>
      <c r="B20">
        <v>158.80000000000001</v>
      </c>
      <c r="C20">
        <v>3</v>
      </c>
    </row>
    <row r="21" spans="1:3">
      <c r="A21">
        <v>4.5999999999999996</v>
      </c>
      <c r="B21">
        <v>198.8</v>
      </c>
      <c r="C21">
        <v>2</v>
      </c>
    </row>
    <row r="22" spans="1:3">
      <c r="A22">
        <v>4.920000076</v>
      </c>
      <c r="B22">
        <v>211.2</v>
      </c>
      <c r="C22">
        <v>2</v>
      </c>
    </row>
    <row r="23" spans="1:3" hidden="1">
      <c r="A23">
        <v>1.1199999810000001</v>
      </c>
      <c r="B23">
        <v>39.6</v>
      </c>
      <c r="C23">
        <v>1</v>
      </c>
    </row>
    <row r="24" spans="1:3" hidden="1">
      <c r="A24">
        <v>1.239999962</v>
      </c>
      <c r="B24">
        <v>0.2</v>
      </c>
      <c r="C24">
        <v>1</v>
      </c>
    </row>
    <row r="25" spans="1:3" hidden="1">
      <c r="A25">
        <v>3.84</v>
      </c>
      <c r="B25">
        <v>138.80000000000001</v>
      </c>
      <c r="C25">
        <v>3</v>
      </c>
    </row>
    <row r="26" spans="1:3" hidden="1">
      <c r="A26">
        <v>3.920000076</v>
      </c>
      <c r="B26">
        <v>136.4</v>
      </c>
      <c r="C26">
        <v>3</v>
      </c>
    </row>
    <row r="27" spans="1:3">
      <c r="A27">
        <v>4.8</v>
      </c>
      <c r="B27">
        <v>202.8</v>
      </c>
      <c r="C27">
        <v>2</v>
      </c>
    </row>
    <row r="28" spans="1:3" hidden="1">
      <c r="A28">
        <v>2.8</v>
      </c>
      <c r="B28">
        <v>160</v>
      </c>
      <c r="C28">
        <v>3</v>
      </c>
    </row>
  </sheetData>
  <autoFilter ref="A1:C28">
    <filterColumn colId="2">
      <filters>
        <filter val="2"/>
      </filters>
    </filterColumn>
  </autoFilter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C28"/>
  <sheetViews>
    <sheetView workbookViewId="0">
      <selection sqref="A1:XFD1048576"/>
    </sheetView>
  </sheetViews>
  <sheetFormatPr baseColWidth="10" defaultColWidth="8.88671875" defaultRowHeight="14.4"/>
  <cols>
    <col min="1" max="1" width="14.88671875" bestFit="1" customWidth="1"/>
    <col min="2" max="2" width="12.77734375" bestFit="1" customWidth="1"/>
  </cols>
  <sheetData>
    <row r="1" spans="1:3">
      <c r="A1" t="s">
        <v>10</v>
      </c>
      <c r="B1" t="s">
        <v>8</v>
      </c>
      <c r="C1" t="s">
        <v>15</v>
      </c>
    </row>
    <row r="2" spans="1:3">
      <c r="A2">
        <v>1.2</v>
      </c>
      <c r="B2">
        <v>4</v>
      </c>
      <c r="C2">
        <v>1</v>
      </c>
    </row>
    <row r="3" spans="1:3">
      <c r="A3">
        <v>1.319999981</v>
      </c>
      <c r="B3">
        <v>8</v>
      </c>
      <c r="C3">
        <v>1</v>
      </c>
    </row>
    <row r="4" spans="1:3">
      <c r="A4">
        <v>1.960000038</v>
      </c>
      <c r="B4">
        <v>27.2</v>
      </c>
      <c r="C4">
        <v>1</v>
      </c>
    </row>
    <row r="5" spans="1:3">
      <c r="A5">
        <v>1</v>
      </c>
      <c r="B5">
        <v>6</v>
      </c>
      <c r="C5">
        <v>1</v>
      </c>
    </row>
    <row r="6" spans="1:3">
      <c r="A6">
        <v>1.879999924</v>
      </c>
      <c r="B6">
        <v>26</v>
      </c>
      <c r="C6">
        <v>1</v>
      </c>
    </row>
    <row r="7" spans="1:3">
      <c r="A7">
        <v>1.839999962</v>
      </c>
      <c r="B7">
        <v>39.200000000000003</v>
      </c>
      <c r="C7">
        <v>1</v>
      </c>
    </row>
    <row r="8" spans="1:3">
      <c r="A8">
        <v>1.1199999810000001</v>
      </c>
      <c r="B8">
        <v>39.6</v>
      </c>
      <c r="C8">
        <v>1</v>
      </c>
    </row>
    <row r="9" spans="1:3">
      <c r="A9">
        <v>1.239999962</v>
      </c>
      <c r="B9">
        <v>0.2</v>
      </c>
      <c r="C9">
        <v>1</v>
      </c>
    </row>
    <row r="10" spans="1:3">
      <c r="A10">
        <v>4.8</v>
      </c>
      <c r="B10">
        <v>207.6</v>
      </c>
      <c r="C10">
        <v>2</v>
      </c>
    </row>
    <row r="11" spans="1:3">
      <c r="A11">
        <v>4.7200000759999998</v>
      </c>
      <c r="B11">
        <v>194.8</v>
      </c>
      <c r="C11">
        <v>2</v>
      </c>
    </row>
    <row r="12" spans="1:3">
      <c r="A12">
        <v>6.9599998479999998</v>
      </c>
      <c r="B12">
        <v>228</v>
      </c>
      <c r="C12">
        <v>2</v>
      </c>
    </row>
    <row r="13" spans="1:3">
      <c r="A13">
        <v>4.5200000759999996</v>
      </c>
      <c r="B13">
        <v>185.6</v>
      </c>
      <c r="C13">
        <v>2</v>
      </c>
    </row>
    <row r="14" spans="1:3">
      <c r="A14">
        <v>4.5999999999999996</v>
      </c>
      <c r="B14">
        <v>198.8</v>
      </c>
      <c r="C14">
        <v>2</v>
      </c>
    </row>
    <row r="15" spans="1:3">
      <c r="A15">
        <v>4.920000076</v>
      </c>
      <c r="B15">
        <v>211.2</v>
      </c>
      <c r="C15">
        <v>2</v>
      </c>
    </row>
    <row r="16" spans="1:3">
      <c r="A16">
        <v>4.8</v>
      </c>
      <c r="B16">
        <v>202.8</v>
      </c>
      <c r="C16">
        <v>2</v>
      </c>
    </row>
    <row r="17" spans="1:3">
      <c r="A17">
        <v>4.2400001520000004</v>
      </c>
      <c r="B17">
        <v>174.8</v>
      </c>
      <c r="C17">
        <v>3</v>
      </c>
    </row>
    <row r="18" spans="1:3">
      <c r="A18">
        <v>3.24</v>
      </c>
      <c r="B18">
        <v>119.6</v>
      </c>
      <c r="C18">
        <v>3</v>
      </c>
    </row>
    <row r="19" spans="1:3">
      <c r="A19">
        <v>4.2</v>
      </c>
      <c r="B19">
        <v>171.2</v>
      </c>
      <c r="C19">
        <v>3</v>
      </c>
    </row>
    <row r="20" spans="1:3">
      <c r="A20">
        <v>2.2000000000000002</v>
      </c>
      <c r="B20">
        <v>159.19999999999999</v>
      </c>
      <c r="C20">
        <v>3</v>
      </c>
    </row>
    <row r="21" spans="1:3">
      <c r="A21">
        <v>4.159999848</v>
      </c>
      <c r="B21">
        <v>158.80000000000001</v>
      </c>
      <c r="C21">
        <v>3</v>
      </c>
    </row>
    <row r="22" spans="1:3">
      <c r="A22">
        <v>3.84</v>
      </c>
      <c r="B22">
        <v>138.80000000000001</v>
      </c>
      <c r="C22">
        <v>3</v>
      </c>
    </row>
    <row r="23" spans="1:3">
      <c r="A23">
        <v>3.920000076</v>
      </c>
      <c r="B23">
        <v>136.4</v>
      </c>
      <c r="C23">
        <v>3</v>
      </c>
    </row>
    <row r="24" spans="1:3">
      <c r="A24">
        <v>2.8</v>
      </c>
      <c r="B24">
        <v>160</v>
      </c>
      <c r="C24">
        <v>3</v>
      </c>
    </row>
    <row r="25" spans="1:3">
      <c r="A25">
        <v>3.2799999240000002</v>
      </c>
      <c r="B25">
        <v>92.4</v>
      </c>
      <c r="C25">
        <v>4</v>
      </c>
    </row>
    <row r="26" spans="1:3">
      <c r="A26">
        <v>2.7600000379999998</v>
      </c>
      <c r="B26">
        <v>62.4</v>
      </c>
      <c r="C26">
        <v>4</v>
      </c>
    </row>
    <row r="27" spans="1:3">
      <c r="A27">
        <v>3.079999924</v>
      </c>
      <c r="B27">
        <v>78</v>
      </c>
      <c r="C27">
        <v>4</v>
      </c>
    </row>
    <row r="28" spans="1:3">
      <c r="A28">
        <v>2.8799999239999998</v>
      </c>
      <c r="B28">
        <v>64.400000000000006</v>
      </c>
      <c r="C28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D28"/>
  <sheetViews>
    <sheetView workbookViewId="0">
      <selection activeCell="F8" sqref="F8"/>
    </sheetView>
  </sheetViews>
  <sheetFormatPr baseColWidth="10" defaultColWidth="11.5546875" defaultRowHeight="14.4"/>
  <cols>
    <col min="3" max="3" width="12.77734375" bestFit="1" customWidth="1"/>
    <col min="6" max="6" width="16.5546875" bestFit="1" customWidth="1"/>
    <col min="7" max="7" width="15.5546875" bestFit="1" customWidth="1"/>
    <col min="8" max="8" width="15" bestFit="1" customWidth="1"/>
  </cols>
  <sheetData>
    <row r="1" spans="1:4">
      <c r="A1" t="s">
        <v>9</v>
      </c>
      <c r="B1" t="s">
        <v>10</v>
      </c>
      <c r="C1" t="s">
        <v>8</v>
      </c>
      <c r="D1" t="s">
        <v>1</v>
      </c>
    </row>
    <row r="2" spans="1:4">
      <c r="A2">
        <v>204.8</v>
      </c>
      <c r="B2">
        <v>3.24</v>
      </c>
      <c r="C2">
        <v>119.6</v>
      </c>
      <c r="D2">
        <v>1</v>
      </c>
    </row>
    <row r="3" spans="1:4">
      <c r="A3">
        <v>136.80000000000001</v>
      </c>
      <c r="B3">
        <v>2.2000000000000002</v>
      </c>
      <c r="C3">
        <v>159.19999999999999</v>
      </c>
      <c r="D3">
        <v>1</v>
      </c>
    </row>
    <row r="4" spans="1:4">
      <c r="A4">
        <v>181.2</v>
      </c>
      <c r="B4">
        <v>4.159999848</v>
      </c>
      <c r="C4">
        <v>158.80000000000001</v>
      </c>
      <c r="D4">
        <v>1</v>
      </c>
    </row>
    <row r="5" spans="1:4">
      <c r="A5">
        <v>184.4</v>
      </c>
      <c r="B5">
        <v>3.84</v>
      </c>
      <c r="C5">
        <v>138.80000000000001</v>
      </c>
      <c r="D5">
        <v>1</v>
      </c>
    </row>
    <row r="6" spans="1:4">
      <c r="A6">
        <v>152.80000000000001</v>
      </c>
      <c r="B6">
        <v>3.920000076</v>
      </c>
      <c r="C6">
        <v>136.4</v>
      </c>
      <c r="D6">
        <v>1</v>
      </c>
    </row>
    <row r="7" spans="1:4">
      <c r="A7">
        <v>206.8</v>
      </c>
      <c r="B7">
        <v>2.8</v>
      </c>
      <c r="C7">
        <v>160</v>
      </c>
      <c r="D7">
        <v>1</v>
      </c>
    </row>
    <row r="8" spans="1:4">
      <c r="A8">
        <v>117.6</v>
      </c>
      <c r="B8">
        <v>3.2799999240000002</v>
      </c>
      <c r="C8">
        <v>92.4</v>
      </c>
      <c r="D8">
        <v>2</v>
      </c>
    </row>
    <row r="9" spans="1:4">
      <c r="A9">
        <v>92.8</v>
      </c>
      <c r="B9">
        <v>2.7600000379999998</v>
      </c>
      <c r="C9">
        <v>62.4</v>
      </c>
      <c r="D9">
        <v>2</v>
      </c>
    </row>
    <row r="10" spans="1:4">
      <c r="A10">
        <v>138.80000000000001</v>
      </c>
      <c r="B10">
        <v>3.079999924</v>
      </c>
      <c r="C10">
        <v>78</v>
      </c>
      <c r="D10">
        <v>2</v>
      </c>
    </row>
    <row r="11" spans="1:4">
      <c r="A11">
        <v>78.400000000000006</v>
      </c>
      <c r="B11">
        <v>2.8799999239999998</v>
      </c>
      <c r="C11">
        <v>64.400000000000006</v>
      </c>
      <c r="D11">
        <v>2</v>
      </c>
    </row>
    <row r="12" spans="1:4">
      <c r="A12">
        <v>111.2</v>
      </c>
      <c r="B12">
        <v>1.1199999810000001</v>
      </c>
      <c r="C12">
        <v>39.6</v>
      </c>
      <c r="D12">
        <v>2</v>
      </c>
    </row>
    <row r="13" spans="1:4">
      <c r="A13">
        <v>59.6</v>
      </c>
      <c r="B13">
        <v>1.2</v>
      </c>
      <c r="C13">
        <v>4</v>
      </c>
      <c r="D13">
        <v>3</v>
      </c>
    </row>
    <row r="14" spans="1:4">
      <c r="A14">
        <v>84.8</v>
      </c>
      <c r="B14">
        <v>1.319999981</v>
      </c>
      <c r="C14">
        <v>8</v>
      </c>
      <c r="D14">
        <v>3</v>
      </c>
    </row>
    <row r="15" spans="1:4">
      <c r="A15">
        <v>40.799999999999997</v>
      </c>
      <c r="B15">
        <v>1.960000038</v>
      </c>
      <c r="C15">
        <v>27.2</v>
      </c>
      <c r="D15">
        <v>3</v>
      </c>
    </row>
    <row r="16" spans="1:4">
      <c r="A16">
        <v>65.2</v>
      </c>
      <c r="B16">
        <v>1</v>
      </c>
      <c r="C16">
        <v>6</v>
      </c>
      <c r="D16">
        <v>3</v>
      </c>
    </row>
    <row r="17" spans="1:4">
      <c r="A17">
        <v>67.2</v>
      </c>
      <c r="B17">
        <v>1.879999924</v>
      </c>
      <c r="C17">
        <v>26</v>
      </c>
      <c r="D17">
        <v>3</v>
      </c>
    </row>
    <row r="18" spans="1:4">
      <c r="A18">
        <v>60.4</v>
      </c>
      <c r="B18">
        <v>1.839999962</v>
      </c>
      <c r="C18">
        <v>39.200000000000003</v>
      </c>
      <c r="D18">
        <v>3</v>
      </c>
    </row>
    <row r="19" spans="1:4">
      <c r="A19">
        <v>56.8</v>
      </c>
      <c r="B19">
        <v>1.239999962</v>
      </c>
      <c r="C19">
        <v>0.2</v>
      </c>
      <c r="D19">
        <v>3</v>
      </c>
    </row>
    <row r="20" spans="1:4">
      <c r="A20">
        <v>240</v>
      </c>
      <c r="B20">
        <v>4.8</v>
      </c>
      <c r="C20">
        <v>207.6</v>
      </c>
      <c r="D20">
        <v>4</v>
      </c>
    </row>
    <row r="21" spans="1:4">
      <c r="A21">
        <v>226.8</v>
      </c>
      <c r="B21">
        <v>4.2400001520000004</v>
      </c>
      <c r="C21">
        <v>174.8</v>
      </c>
      <c r="D21">
        <v>4</v>
      </c>
    </row>
    <row r="22" spans="1:4">
      <c r="A22">
        <v>228.4</v>
      </c>
      <c r="B22">
        <v>4.7200000759999998</v>
      </c>
      <c r="C22">
        <v>194.8</v>
      </c>
      <c r="D22">
        <v>4</v>
      </c>
    </row>
    <row r="23" spans="1:4">
      <c r="A23">
        <v>315.2</v>
      </c>
      <c r="B23">
        <v>6.9599998479999998</v>
      </c>
      <c r="C23">
        <v>228</v>
      </c>
      <c r="D23">
        <v>4</v>
      </c>
    </row>
    <row r="24" spans="1:4">
      <c r="A24">
        <v>230.8</v>
      </c>
      <c r="B24">
        <v>4.2</v>
      </c>
      <c r="C24">
        <v>171.2</v>
      </c>
      <c r="D24">
        <v>4</v>
      </c>
    </row>
    <row r="25" spans="1:4">
      <c r="A25">
        <v>214</v>
      </c>
      <c r="B25">
        <v>4.5200000759999996</v>
      </c>
      <c r="C25">
        <v>185.6</v>
      </c>
      <c r="D25">
        <v>4</v>
      </c>
    </row>
    <row r="26" spans="1:4">
      <c r="A26">
        <v>207.2</v>
      </c>
      <c r="B26">
        <v>4.5999999999999996</v>
      </c>
      <c r="C26">
        <v>198.8</v>
      </c>
      <c r="D26">
        <v>4</v>
      </c>
    </row>
    <row r="27" spans="1:4">
      <c r="A27">
        <v>246</v>
      </c>
      <c r="B27">
        <v>4.920000076</v>
      </c>
      <c r="C27">
        <v>211.2</v>
      </c>
      <c r="D27">
        <v>4</v>
      </c>
    </row>
    <row r="28" spans="1:4">
      <c r="A28">
        <v>236</v>
      </c>
      <c r="B28">
        <v>4.8</v>
      </c>
      <c r="C28">
        <v>202.8</v>
      </c>
      <c r="D28">
        <v>4</v>
      </c>
    </row>
  </sheetData>
  <sortState ref="A2:D28">
    <sortCondition ref="D2:D2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Clusters1Variable</vt:lpstr>
      <vt:lpstr>Pivot1Variable</vt:lpstr>
      <vt:lpstr>Pivot2Variables</vt:lpstr>
      <vt:lpstr>Clusters2Variable</vt:lpstr>
      <vt:lpstr>Pivot3Variables</vt:lpstr>
      <vt:lpstr>Clusters3Variable </vt:lpstr>
      <vt:lpstr>Pivot4Vars</vt:lpstr>
      <vt:lpstr>Clusters4Variable</vt:lpstr>
      <vt:lpstr>advertising</vt:lpstr>
      <vt:lpstr>Hoja2</vt:lpstr>
      <vt:lpstr>clustersavgstd</vt:lpstr>
      <vt:lpstr>2dclusteravgst</vt:lpstr>
      <vt:lpstr>Sheet1</vt:lpstr>
      <vt:lpstr>3dclustersavgst</vt:lpstr>
      <vt:lpstr>advertising!Advertising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fernando</cp:lastModifiedBy>
  <dcterms:created xsi:type="dcterms:W3CDTF">2020-08-15T23:32:28Z</dcterms:created>
  <dcterms:modified xsi:type="dcterms:W3CDTF">2021-09-29T05:17:01Z</dcterms:modified>
</cp:coreProperties>
</file>